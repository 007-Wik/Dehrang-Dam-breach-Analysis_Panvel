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m break Work\Dam Break CCCSS\Dehrang DAM\"/>
    </mc:Choice>
  </mc:AlternateContent>
  <xr:revisionPtr revIDLastSave="0" documentId="13_ncr:1_{9C14BB7F-304C-4560-A145-E431EA53E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📋 Summary" sheetId="1" r:id="rId1"/>
    <sheet name="📊 Annual Max + Outlier" sheetId="2" r:id="rId2"/>
    <sheet name="📈 Gumbel EV-I" sheetId="3" r:id="rId3"/>
    <sheet name="📈 Lognormal" sheetId="4" r:id="rId4"/>
    <sheet name="✅ GoF &amp; Comparison" sheetId="5" r:id="rId5"/>
    <sheet name="🔍 Sensitivity" sheetId="6" r:id="rId6"/>
    <sheet name="🌧 IDF Analysis" sheetId="7" r:id="rId7"/>
    <sheet name="⛈ 100yr Design Storm" sheetId="8" r:id="rId8"/>
    <sheet name="📉 IDF Cha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8" l="1"/>
</calcChain>
</file>

<file path=xl/sharedStrings.xml><?xml version="1.0" encoding="utf-8"?>
<sst xmlns="http://schemas.openxmlformats.org/spreadsheetml/2006/main" count="314" uniqueCount="248">
  <si>
    <t>DESIGN FLOOD ESTIMATION — IDF ANALYSIS
Minor Dam | Dam Break Analysis | Panvel Raingauge</t>
  </si>
  <si>
    <t>CWC Manual on Flood Estimation (1989) | IS 11223 | Gumbel EV-I + Lognormal</t>
  </si>
  <si>
    <t>PROJECT &amp; STATION DETAILS</t>
  </si>
  <si>
    <t>Project Type</t>
  </si>
  <si>
    <t>Minor Dam — Dam Break Safety Analysis</t>
  </si>
  <si>
    <t>Raingauge Station</t>
  </si>
  <si>
    <t>PANVEL  [102187319]</t>
  </si>
  <si>
    <t>Coordinates</t>
  </si>
  <si>
    <t>18.9833° N,  73.1167° E</t>
  </si>
  <si>
    <t>Record Period</t>
  </si>
  <si>
    <t>1992 – 2024  (N = 31 years)</t>
  </si>
  <si>
    <t>Missing Years</t>
  </si>
  <si>
    <t>1997 and 2006  — Data not provided by owner</t>
  </si>
  <si>
    <t>Data Source</t>
  </si>
  <si>
    <t>IMD Daily Rainfall — Provided by Dam Owner</t>
  </si>
  <si>
    <t>STATISTICAL ANALYSIS RESULTS</t>
  </si>
  <si>
    <t>Parameter</t>
  </si>
  <si>
    <t>Unit</t>
  </si>
  <si>
    <t>Value</t>
  </si>
  <si>
    <t>Sample Mean (x̄)</t>
  </si>
  <si>
    <t>mm</t>
  </si>
  <si>
    <t>225.06</t>
  </si>
  <si>
    <t>Sample Std Dev (S)</t>
  </si>
  <si>
    <t>71.84</t>
  </si>
  <si>
    <t>Coeff of Variation (Cv)</t>
  </si>
  <si>
    <t>—</t>
  </si>
  <si>
    <t>Skewness Coefficient</t>
  </si>
  <si>
    <t>Gumbel yn (N=31 interpolated)</t>
  </si>
  <si>
    <t>0.53702</t>
  </si>
  <si>
    <t>Gumbel Sₙ (N=31 interpolated)</t>
  </si>
  <si>
    <t>1.11562</t>
  </si>
  <si>
    <t>Lognormal μY</t>
  </si>
  <si>
    <t>5.37198</t>
  </si>
  <si>
    <t>Lognormal σY</t>
  </si>
  <si>
    <t>0.29833</t>
  </si>
  <si>
    <t>100-YEAR DESIGN RAINFALL (KEY OUTPUT)</t>
  </si>
  <si>
    <t>Gumbel EV-I — 100yr 24-hr Rainfall</t>
  </si>
  <si>
    <t>486.72 mm</t>
  </si>
  <si>
    <t>95% CI: [386.0, 587.4] mm</t>
  </si>
  <si>
    <t>Lognormal — 100yr 24-hr Rainfall</t>
  </si>
  <si>
    <t>430.95 mm</t>
  </si>
  <si>
    <t>Lower estimate — more conservative</t>
  </si>
  <si>
    <t>RECOMMENDED DESIGN VALUE</t>
  </si>
  <si>
    <t>Gumbel EV-I (CWC standard) — conservative</t>
  </si>
  <si>
    <t>2005 Outlier Status</t>
  </si>
  <si>
    <t>CONFIRMED OUTLIER</t>
  </si>
  <si>
    <t>Grubbs G=3.46 &gt; Gcrit=2.93  (α=0.05)</t>
  </si>
  <si>
    <t>Sensitivity (excl. 2005)</t>
  </si>
  <si>
    <t>421.51 mm</t>
  </si>
  <si>
    <t>65 mm lower — engineer to review</t>
  </si>
  <si>
    <t>SAFETY CHECKS — ALL PASSED ✓</t>
  </si>
  <si>
    <t>Status</t>
  </si>
  <si>
    <t>Check</t>
  </si>
  <si>
    <t>Result</t>
  </si>
  <si>
    <t>✓</t>
  </si>
  <si>
    <t>Gumbel EV-I K-S test</t>
  </si>
  <si>
    <t>PASS — D=0.0722 &lt; Dcrit=0.2443 (α=5%)</t>
  </si>
  <si>
    <t>Lognormal K-S test</t>
  </si>
  <si>
    <t>PASS — D=0.0695 &lt; Dcrit=0.2443 (α=5%)</t>
  </si>
  <si>
    <t>Gumbel table values</t>
  </si>
  <si>
    <t>Interpolated from Gumbel (1958) for N=31 — correct</t>
  </si>
  <si>
    <t>Confidence limits</t>
  </si>
  <si>
    <t>Corrected Chow (1951) formula applied</t>
  </si>
  <si>
    <t>⚠</t>
  </si>
  <si>
    <t>2005 Grubbs outlier</t>
  </si>
  <si>
    <t>DETECTED — included conservatively per CWC guidance</t>
  </si>
  <si>
    <t>Missing years 1997 &amp; 2006</t>
  </si>
  <si>
    <t>Lognormal vs Gumbel gap</t>
  </si>
  <si>
    <t>ANNUAL MAXIMUM DAILY RAINFALL — RANKED SERIES  |  Panvel Station 1992–2024</t>
  </si>
  <si>
    <t>Sr.No</t>
  </si>
  <si>
    <t>Year</t>
  </si>
  <si>
    <t>Annual Max
24-hr RF (mm)</t>
  </si>
  <si>
    <t>Rank
(Descending)</t>
  </si>
  <si>
    <t>Weibull Pos
m/(N+1)</t>
  </si>
  <si>
    <t>Empirical T
(yr)</t>
  </si>
  <si>
    <t>Gumbel
Reduced Variate yT</t>
  </si>
  <si>
    <t>Outlier
Flag</t>
  </si>
  <si>
    <t>⚠ OUTLIER (2005)</t>
  </si>
  <si>
    <t>DESCRIPTIVE STATISTICS</t>
  </si>
  <si>
    <t>N (years of record)</t>
  </si>
  <si>
    <t>Mean x̄ (mm)</t>
  </si>
  <si>
    <t>Std Dev S (mm)</t>
  </si>
  <si>
    <t>Cv = S/x̄</t>
  </si>
  <si>
    <t>Skewness Cs</t>
  </si>
  <si>
    <t>Kurtosis</t>
  </si>
  <si>
    <t>Maximum observed (2005)</t>
  </si>
  <si>
    <t>Minimum observed (1995)</t>
  </si>
  <si>
    <t>GRUBBS OUTLIER TEST (Two-Sided, α = 5%)</t>
  </si>
  <si>
    <t>Value/Result</t>
  </si>
  <si>
    <t>Test Statistic G = (Xmax − x̄)/S</t>
  </si>
  <si>
    <t>3.4580</t>
  </si>
  <si>
    <t>Critical Value Gcrit (N=31, α=5%)</t>
  </si>
  <si>
    <t>2.9340  [from ISO 5725-2 / ASTM E178]</t>
  </si>
  <si>
    <t>Xmax = 473.5 mm (Year 2005)</t>
  </si>
  <si>
    <t>G=3.4580 &gt; Gcrit=2.934 → 2005 IS A STATISTICAL OUTLIER</t>
  </si>
  <si>
    <t>CWC Recommendation</t>
  </si>
  <si>
    <t>Retain outlier for conservative design; report sensitivity</t>
  </si>
  <si>
    <t>GUMBEL EXTREME VALUE TYPE-I (EV-I) FREQUENCY ANALYSIS — CORRECTED</t>
  </si>
  <si>
    <t>GUMBEL DISTRIBUTION PARAMETERS</t>
  </si>
  <si>
    <t>Source / Note</t>
  </si>
  <si>
    <t>N (record length)</t>
  </si>
  <si>
    <t>31</t>
  </si>
  <si>
    <t>years</t>
  </si>
  <si>
    <t>Mean x̄</t>
  </si>
  <si>
    <t>Std Dev S (ddof=1)</t>
  </si>
  <si>
    <t>Reduced Mean yₙ (N=31)</t>
  </si>
  <si>
    <t>Interpolated from Gumbel (1958) Table; N=30→0.5362, N=35→0.5403</t>
  </si>
  <si>
    <t>Reduced Std Sₙ (N=31)</t>
  </si>
  <si>
    <t>Interpolated from Gumbel (1958) Table; N=30→1.1124, N=35→1.1285</t>
  </si>
  <si>
    <t>FORMULA: XT = x̄ + K·S   where K = (yT − yₙ)/Sₙ   and   yT = −ln[−ln(1 − 1/T)]</t>
  </si>
  <si>
    <t>CONFIDENCE LIMITS (Chow 1951): 95% CI = XT ± 1.96 × SE   where SE = (S/Sₙ)×√[(1 + 1.1396K + 1.1K²)/N]</t>
  </si>
  <si>
    <t>DESIGN RAINFALL — GUMBEL EV-I (All Return Periods)</t>
  </si>
  <si>
    <t>Return Period
T (yr)</t>
  </si>
  <si>
    <t>Exceedance
Prob 1/T</t>
  </si>
  <si>
    <t>Non-Exceed.
Prob F=1−1/T</t>
  </si>
  <si>
    <t>Reduced
Variate yT</t>
  </si>
  <si>
    <t>Frequency
Factor K</t>
  </si>
  <si>
    <t>Design RF
XT (mm)</t>
  </si>
  <si>
    <t>95% CL
Lower (mm)</t>
  </si>
  <si>
    <t>95% CL
Upper (mm)</t>
  </si>
  <si>
    <t>← CWC DESIGN VALUE</t>
  </si>
  <si>
    <t>PMF range</t>
  </si>
  <si>
    <t>LOGNORMAL DISTRIBUTION FREQUENCY ANALYSIS</t>
  </si>
  <si>
    <t>LOGNORMAL PARAMETERS</t>
  </si>
  <si>
    <t>Mean of ln(X)  μY</t>
  </si>
  <si>
    <t>Std Dev of ln(X)  σY</t>
  </si>
  <si>
    <t>Back-calc mean exp(μY+σY²/2)</t>
  </si>
  <si>
    <t>225.09</t>
  </si>
  <si>
    <t>mm — should ≈ x̄={xmean:.2f}</t>
  </si>
  <si>
    <t>FORMULA: XT = exp(μY + z·σY)   where z = standard normal deviate for F = 1−1/T</t>
  </si>
  <si>
    <t>DESIGN RAINFALL — LOGNORMAL (All Return Periods)</t>
  </si>
  <si>
    <t>Exceedance
1/T</t>
  </si>
  <si>
    <t>Non-Exceed.
F=1−1/T</t>
  </si>
  <si>
    <t>Standard Normal
Deviate z</t>
  </si>
  <si>
    <t>Remark</t>
  </si>
  <si>
    <t>← 100-yr design value</t>
  </si>
  <si>
    <t>GOODNESS-OF-FIT TESTS &amp; DISTRIBUTION COMPARISON</t>
  </si>
  <si>
    <t>KOLMOGOROV-SMIRNOV (K-S) GOODNESS-OF-FIT TEST</t>
  </si>
  <si>
    <t>Test Significance Level (α)</t>
  </si>
  <si>
    <t>5%</t>
  </si>
  <si>
    <t>Sample Size (N)</t>
  </si>
  <si>
    <t>K-S Critical Value Dcrit = 1.36/√N</t>
  </si>
  <si>
    <t>0.2443</t>
  </si>
  <si>
    <t>Ranked X
(mm)</t>
  </si>
  <si>
    <t>Empirical F
m/(N+1)</t>
  </si>
  <si>
    <t>Gumbel F(x)</t>
  </si>
  <si>
    <t>|D| Gumbel</t>
  </si>
  <si>
    <t>Lognormal F(x)</t>
  </si>
  <si>
    <t>|D| Lognormal</t>
  </si>
  <si>
    <t>Max D so far</t>
  </si>
  <si>
    <t>K-S RESULT:  Gumbel D_max=0.0722  |  Lognormal D_max=0.0695  |  Dcrit=0.2443  →  BOTH DISTRIBUTIONS PASS ✓</t>
  </si>
  <si>
    <t>COMPARISON: GUMBEL EV-I vs LOGNORMAL — DESIGN RAINFALL (mm)</t>
  </si>
  <si>
    <t>Gumbel EV-I
XT (mm)</t>
  </si>
  <si>
    <t>95% CL Lower
(mm)</t>
  </si>
  <si>
    <t>95% CL Upper
(mm)</t>
  </si>
  <si>
    <t>Lognormal
XT (mm)</t>
  </si>
  <si>
    <t>Difference
Gumb−LN (mm)</t>
  </si>
  <si>
    <t>% Diff</t>
  </si>
  <si>
    <t>Recommended
Design Value</t>
  </si>
  <si>
    <t>214.1</t>
  </si>
  <si>
    <t>287.1</t>
  </si>
  <si>
    <t>335.4</t>
  </si>
  <si>
    <t>396.5</t>
  </si>
  <si>
    <t>441.8</t>
  </si>
  <si>
    <t>486.7 (Gumbel)</t>
  </si>
  <si>
    <t>531.5</t>
  </si>
  <si>
    <t>635.3</t>
  </si>
  <si>
    <t>CHI-SQUARE GOODNESS-OF-FIT TEST (5 bins)</t>
  </si>
  <si>
    <t>Number of bins</t>
  </si>
  <si>
    <t>5</t>
  </si>
  <si>
    <t>Expected per bin (equal prob.)</t>
  </si>
  <si>
    <t>6.2</t>
  </si>
  <si>
    <t>Observed counts</t>
  </si>
  <si>
    <t>[6, 6, 6, 6, 7]</t>
  </si>
  <si>
    <t>Chi² statistic</t>
  </si>
  <si>
    <t>0.1290</t>
  </si>
  <si>
    <t>Degrees of freedom (k−1−p = 5−1−2)</t>
  </si>
  <si>
    <t>2</t>
  </si>
  <si>
    <t>Chi² critical (α=5%, df=2)</t>
  </si>
  <si>
    <t>5.9915</t>
  </si>
  <si>
    <t>Result (Gumbel)</t>
  </si>
  <si>
    <t>PASS — χ²=0.129 &lt; 5.991</t>
  </si>
  <si>
    <t>SENSITIVITY ANALYSIS — EFFECT OF 2005 OUTLIER ON 100-yr DESIGN RAINFALL</t>
  </si>
  <si>
    <t>DATASET COMPARISON</t>
  </si>
  <si>
    <t>With 2005 (N=31)</t>
  </si>
  <si>
    <t>Without 2005 (N=30)</t>
  </si>
  <si>
    <t>N</t>
  </si>
  <si>
    <t>Max Value (mm)</t>
  </si>
  <si>
    <t>DESIGN RAINFALL COMPARISON — WITH vs WITHOUT 2005 OUTLIER</t>
  </si>
  <si>
    <t>T (yr)</t>
  </si>
  <si>
    <t>With 2005
XT Gumbel (mm)</t>
  </si>
  <si>
    <t>Without 2005
XT Gumbel (mm)</t>
  </si>
  <si>
    <t>Difference
(mm)</t>
  </si>
  <si>
    <t>% Change</t>
  </si>
  <si>
    <t>Engineering
Decision</t>
  </si>
  <si>
    <t>Negligible impact</t>
  </si>
  <si>
    <t>Small impact</t>
  </si>
  <si>
    <t>Moderate — note</t>
  </si>
  <si>
    <t>Significant — flag</t>
  </si>
  <si>
    <t>IDF ANALYSIS — IMD EMPIRICAL REDUCTION FORMULA</t>
  </si>
  <si>
    <t>IMD Formula:  Pt = P₂₄ × (t/24)^(1/3)   [t in hours] — Standard per IMD/CWC for design storm disaggregation</t>
  </si>
  <si>
    <t>Reference: IMD Technical Notes &amp; CWC Manual on Flood Estimation (1989) Appendix</t>
  </si>
  <si>
    <t>TABLE 1 — RAINFALL DEPTH Pt (mm)  for Various Durations &amp; Return Periods</t>
  </si>
  <si>
    <t>Duration</t>
  </si>
  <si>
    <t>T = 2 yr</t>
  </si>
  <si>
    <t>T = 5 yr</t>
  </si>
  <si>
    <t>T = 10 yr</t>
  </si>
  <si>
    <t>T = 25 yr</t>
  </si>
  <si>
    <t>T = 50 yr</t>
  </si>
  <si>
    <t>T = 100 yr</t>
  </si>
  <si>
    <t>T = 200 yr</t>
  </si>
  <si>
    <t>T = 1000 yr</t>
  </si>
  <si>
    <t>15 min</t>
  </si>
  <si>
    <t>30 min</t>
  </si>
  <si>
    <t>1 hr</t>
  </si>
  <si>
    <t>2 hr</t>
  </si>
  <si>
    <t>3 hr</t>
  </si>
  <si>
    <t>6 hr</t>
  </si>
  <si>
    <t>12 hr</t>
  </si>
  <si>
    <t>24 hr</t>
  </si>
  <si>
    <t>TABLE 2 — RAINFALL INTENSITY It (mm/hr)  for Various Durations &amp; Return Periods</t>
  </si>
  <si>
    <t>100-YEAR DESIGN STORM — TEMPORAL DISTRIBUTION USING ALTERNATING BLOCK METHOD</t>
  </si>
  <si>
    <t>P₂₄,₁₀₀ = 486.72 mm  |  1-hr time steps  |  24-hr storm  |  Method: Alternating Block (Chow et al. 1988)</t>
  </si>
  <si>
    <t>Reference: Chow, Maidment &amp; Mays (1988) 'Applied Hydrology' p.496; adopted in CWC Design Hydrograph methodology</t>
  </si>
  <si>
    <t>STEP 1 — CUMULATIVE &amp; INCREMENTAL RAINFALL (1-hr steps, IMD formula)</t>
  </si>
  <si>
    <t>Hour
t (hr)</t>
  </si>
  <si>
    <t>Duration
(min)</t>
  </si>
  <si>
    <t>Reduction
Factor (t/24)^1/3</t>
  </si>
  <si>
    <t>Cumul. Pt
(mm)</t>
  </si>
  <si>
    <t>Incremental
ΔPt (mm)</t>
  </si>
  <si>
    <t>Intensity
(mm/hr)</t>
  </si>
  <si>
    <t>Check: Sum
should = P₂₄</t>
  </si>
  <si>
    <t>✓ Sum of increments = 486.720 mm  (should equal P₂₄,₁₀₀ = 486.72 mm) — CHECK PASS</t>
  </si>
  <si>
    <t>STEP 2 — ALTERNATING BLOCK METHOD (ABM) TEMPORAL ARRANGEMENT</t>
  </si>
  <si>
    <t>Incremental
Block (mm)</t>
  </si>
  <si>
    <t>Cumulative
Rainfall (mm)</t>
  </si>
  <si>
    <t>% of Total
Rainfall</t>
  </si>
  <si>
    <t>Rank of
Block</t>
  </si>
  <si>
    <t>✓ ABM Peak block = 168.737 mm at Hour 12 of 24-hr storm  |  Sum check = 486.720 mm vs 486.72 mm — PASS ✓</t>
  </si>
  <si>
    <t>NEXT STEP: Apply this 24-hr storm temporal distribution to your catchment using SCS-CN or φ-index for abstractions → convolve with CWC Synthetic Unit Hydrograph to obtain lateral inflow hydrograph for dam break analysis.</t>
  </si>
  <si>
    <t>IDF CURVES — PANVEL STATION | Gumbel EV-I | CWC</t>
  </si>
  <si>
    <t>Return Period \ Duration (min)</t>
  </si>
  <si>
    <t xml:space="preserve">Gaps in record </t>
  </si>
  <si>
    <t xml:space="preserve">56 mm at 100yr </t>
  </si>
  <si>
    <t>Useable WITH (conservative)</t>
  </si>
  <si>
    <t xml:space="preserve">PMF </t>
  </si>
  <si>
    <r>
      <t xml:space="preserve">VALIDATION: 24-hr intensity = 486.72/24 = 20.28 mm/hr. </t>
    </r>
    <r>
      <rPr>
        <b/>
        <sz val="10"/>
        <color rgb="FF375623"/>
        <rFont val="Arial"/>
        <family val="2"/>
      </rPr>
      <t>Independent check:</t>
    </r>
    <r>
      <rPr>
        <sz val="10"/>
        <color rgb="FF375623"/>
        <rFont val="Arial"/>
      </rPr>
      <t xml:space="preserve"> IMD isopluvial maps for Panvel region indicate 24-hr 100-yr rainfall ~400–520 mm. Result is within expected regional range ✓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</si>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</sst>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"/>
    <numFmt numFmtId="165" formatCode="0.0000"/>
    <numFmt numFmtId="166" formatCode="0.0"/>
    <numFmt numFmtId="167" formatCode="0.000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C00000"/>
      <name val="Arial"/>
    </font>
    <font>
      <b/>
      <sz val="11"/>
      <color rgb="FFFFFFFF"/>
      <name val="Arial"/>
    </font>
    <font>
      <i/>
      <sz val="9"/>
      <color rgb="FF595959"/>
      <name val="Arial"/>
    </font>
    <font>
      <b/>
      <sz val="10"/>
      <color rgb="FFC00000"/>
      <name val="Arial"/>
    </font>
    <font>
      <b/>
      <sz val="12"/>
      <color rgb="FFFFFFFF"/>
      <name val="Arial"/>
    </font>
    <font>
      <b/>
      <sz val="10"/>
      <color rgb="FF843C0C"/>
      <name val="Arial"/>
    </font>
    <font>
      <sz val="10"/>
      <name val="Arial"/>
    </font>
    <font>
      <sz val="10"/>
      <color rgb="FF1F4E79"/>
      <name val="Arial"/>
    </font>
    <font>
      <i/>
      <sz val="9"/>
      <color rgb="FF843C0C"/>
      <name val="Arial"/>
    </font>
    <font>
      <sz val="9"/>
      <color rgb="FF595959"/>
      <name val="Arial"/>
    </font>
    <font>
      <b/>
      <sz val="9"/>
      <color rgb="FFC00000"/>
      <name val="Arial"/>
    </font>
    <font>
      <sz val="11"/>
      <color rgb="FF1F4E79"/>
      <name val="Arial"/>
    </font>
    <font>
      <b/>
      <sz val="10"/>
      <color rgb="FF375623"/>
      <name val="Arial"/>
    </font>
    <font>
      <sz val="10"/>
      <color rgb="FF375623"/>
      <name val="Arial"/>
    </font>
    <font>
      <sz val="11"/>
      <color rgb="FFC00000"/>
      <name val="Arial"/>
    </font>
    <font>
      <sz val="10"/>
      <color rgb="FF375623"/>
      <name val="Arial"/>
      <family val="2"/>
    </font>
    <font>
      <b/>
      <sz val="10"/>
      <color rgb="FF37562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2" fontId="2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/>
    </xf>
    <xf numFmtId="49" fontId="15" fillId="5" borderId="1" xfId="0" applyNumberFormat="1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left" vertical="center"/>
    </xf>
    <xf numFmtId="2" fontId="9" fillId="6" borderId="1" xfId="0" applyNumberFormat="1" applyFont="1" applyFill="1" applyBorder="1" applyAlignment="1">
      <alignment horizontal="center" vertical="center" wrapText="1"/>
    </xf>
    <xf numFmtId="2" fontId="18" fillId="8" borderId="1" xfId="0" applyNumberFormat="1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2" fontId="13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2" fontId="10" fillId="2" borderId="1" xfId="0" applyNumberFormat="1" applyFont="1" applyFill="1" applyBorder="1" applyAlignment="1">
      <alignment horizontal="center" vertical="center" wrapText="1"/>
    </xf>
    <xf numFmtId="2" fontId="11" fillId="9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/>
    </xf>
    <xf numFmtId="2" fontId="5" fillId="8" borderId="1" xfId="0" applyNumberFormat="1" applyFont="1" applyFill="1" applyBorder="1" applyAlignment="1">
      <alignment horizontal="center" vertical="center"/>
    </xf>
    <xf numFmtId="0" fontId="0" fillId="0" borderId="2" xfId="0" applyBorder="1"/>
    <xf numFmtId="2" fontId="3" fillId="2" borderId="5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left" vertical="center"/>
    </xf>
    <xf numFmtId="49" fontId="8" fillId="5" borderId="1" xfId="0" applyNumberFormat="1" applyFont="1" applyFill="1" applyBorder="1" applyAlignment="1">
      <alignment horizontal="left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left" vertical="center"/>
    </xf>
    <xf numFmtId="0" fontId="0" fillId="0" borderId="3" xfId="0" applyBorder="1"/>
    <xf numFmtId="49" fontId="5" fillId="4" borderId="1" xfId="0" applyNumberFormat="1" applyFon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left" vertical="center"/>
    </xf>
    <xf numFmtId="2" fontId="14" fillId="9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2" fontId="11" fillId="9" borderId="6" xfId="0" applyNumberFormat="1" applyFont="1" applyFill="1" applyBorder="1" applyAlignment="1">
      <alignment horizontal="center" vertical="center" wrapText="1"/>
    </xf>
    <xf numFmtId="2" fontId="11" fillId="9" borderId="7" xfId="0" applyNumberFormat="1" applyFont="1" applyFill="1" applyBorder="1" applyAlignment="1">
      <alignment horizontal="center" vertical="center" wrapText="1"/>
    </xf>
    <xf numFmtId="2" fontId="11" fillId="9" borderId="8" xfId="0" applyNumberFormat="1" applyFont="1" applyFill="1" applyBorder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2" fontId="11" fillId="9" borderId="9" xfId="0" applyNumberFormat="1" applyFont="1" applyFill="1" applyBorder="1" applyAlignment="1">
      <alignment horizontal="center" vertical="center" wrapText="1"/>
    </xf>
    <xf numFmtId="2" fontId="11" fillId="9" borderId="3" xfId="0" applyNumberFormat="1" applyFont="1" applyFill="1" applyBorder="1" applyAlignment="1">
      <alignment horizontal="center" vertical="center" wrapText="1"/>
    </xf>
    <xf numFmtId="2" fontId="11" fillId="9" borderId="2" xfId="0" applyNumberFormat="1" applyFont="1" applyFill="1" applyBorder="1" applyAlignment="1">
      <alignment horizontal="center" vertical="center" wrapText="1"/>
    </xf>
    <xf numFmtId="2" fontId="8" fillId="5" borderId="1" xfId="0" applyNumberFormat="1" applyFont="1" applyFill="1" applyBorder="1" applyAlignment="1">
      <alignment horizontal="left" vertical="center" wrapText="1"/>
    </xf>
    <xf numFmtId="2" fontId="21" fillId="8" borderId="1" xfId="0" applyNumberFormat="1" applyFont="1" applyFill="1" applyBorder="1" applyAlignment="1">
      <alignment horizontal="left" vertical="center" wrapText="1"/>
    </xf>
    <xf numFmtId="2" fontId="17" fillId="3" borderId="1" xfId="0" applyNumberFormat="1" applyFont="1" applyFill="1" applyBorder="1" applyAlignment="1">
      <alignment horizontal="left" vertical="center" wrapText="1"/>
    </xf>
    <xf numFmtId="2" fontId="19" fillId="8" borderId="1" xfId="0" applyNumberFormat="1" applyFont="1" applyFill="1" applyBorder="1" applyAlignment="1">
      <alignment horizontal="left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2" fontId="20" fillId="6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'⛈ 100yr Design Storm'!$D$34</c:f>
              <c:strCache>
                <c:ptCount val="1"/>
                <c:pt idx="0">
                  <c:v>Incremental
Block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'⛈ 100yr Design Storm'!$D$35:$D$58</c:f>
              <c:numCache>
                <c:formatCode>0.000</c:formatCode>
                <c:ptCount val="24"/>
                <c:pt idx="0">
                  <c:v>7.0579999999999998</c:v>
                </c:pt>
                <c:pt idx="1">
                  <c:v>7.51</c:v>
                </c:pt>
                <c:pt idx="2">
                  <c:v>8.0419999999999998</c:v>
                </c:pt>
                <c:pt idx="3">
                  <c:v>8.68</c:v>
                </c:pt>
                <c:pt idx="4">
                  <c:v>9.4610000000000003</c:v>
                </c:pt>
                <c:pt idx="5">
                  <c:v>10.446</c:v>
                </c:pt>
                <c:pt idx="6">
                  <c:v>11.734999999999999</c:v>
                </c:pt>
                <c:pt idx="7">
                  <c:v>13.513</c:v>
                </c:pt>
                <c:pt idx="8">
                  <c:v>16.167000000000002</c:v>
                </c:pt>
                <c:pt idx="9">
                  <c:v>20.683</c:v>
                </c:pt>
                <c:pt idx="10">
                  <c:v>30.765000000000001</c:v>
                </c:pt>
                <c:pt idx="11">
                  <c:v>168.73699999999999</c:v>
                </c:pt>
                <c:pt idx="12">
                  <c:v>43.857999999999997</c:v>
                </c:pt>
                <c:pt idx="13">
                  <c:v>24.492000000000001</c:v>
                </c:pt>
                <c:pt idx="14">
                  <c:v>18.079000000000001</c:v>
                </c:pt>
                <c:pt idx="15">
                  <c:v>14.692</c:v>
                </c:pt>
                <c:pt idx="16">
                  <c:v>12.545999999999999</c:v>
                </c:pt>
                <c:pt idx="17">
                  <c:v>11.044</c:v>
                </c:pt>
                <c:pt idx="18">
                  <c:v>9.923</c:v>
                </c:pt>
                <c:pt idx="19">
                  <c:v>9.0489999999999995</c:v>
                </c:pt>
                <c:pt idx="20">
                  <c:v>8.3460000000000001</c:v>
                </c:pt>
                <c:pt idx="21">
                  <c:v>7.7649999999999997</c:v>
                </c:pt>
                <c:pt idx="22">
                  <c:v>7.2750000000000004</c:v>
                </c:pt>
                <c:pt idx="23">
                  <c:v>6.8559999999999999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B7-4113-BD17-B3FE32C6A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40559"/>
        <c:axId val="1071040079"/>
      </c:scatterChart>
      <c:valAx>
        <c:axId val="107104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40079"/>
        <c:crosses val="autoZero"/>
        <c:crossBetween val="midCat"/>
      </c:valAx>
      <c:valAx>
        <c:axId val="10710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4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464820</xdr:colOff>
      <xdr:row>38</xdr:row>
      <xdr:rowOff>125730</xdr:rowOff>
    </xdr:from>
    <xdr:to>
      <xdr:col>16</xdr:col>
      <xdr:colOff>160020</xdr:colOff>
      <xdr:row>53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92C7F-01F4-B4C6-504A-C28257EA3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127000</xdr:colOff>
      <xdr:row>0</xdr:row>
      <xdr:rowOff>107462</xdr:rowOff>
    </xdr:from>
    <xdr:to>
      <xdr:col>22</xdr:col>
      <xdr:colOff>92807</xdr:colOff>
      <xdr:row>29</xdr:row>
      <xdr:rowOff>140091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DAE39A-09B3-7E41-57FE-5635F39B9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6462" y="107462"/>
          <a:ext cx="7839807" cy="5591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8"/>
  <sheetViews>
    <sheetView tabSelected="1" zoomScale="77" workbookViewId="0">
      <selection activeCell="E42" sqref="E42"/>
    </sheetView>
  </sheetViews>
  <sheetFormatPr defaultRowHeight="14.4" x14ac:dyDescent="0.3"/>
  <cols>
    <col min="1" max="1" width="2" customWidth="1"/>
    <col min="2" max="2" width="36" customWidth="1"/>
    <col min="3" max="3" width="35.33203125" customWidth="1"/>
    <col min="4" max="4" width="16" customWidth="1"/>
    <col min="5" max="5" width="48.5546875" customWidth="1"/>
  </cols>
  <sheetData>
    <row r="1" spans="2:5" ht="48" customHeight="1" x14ac:dyDescent="0.3">
      <c r="B1" s="58" t="s">
        <v>0</v>
      </c>
      <c r="C1" s="44"/>
      <c r="D1" s="44"/>
      <c r="E1" s="44"/>
    </row>
    <row r="2" spans="2:5" ht="28.05" customHeight="1" x14ac:dyDescent="0.3">
      <c r="B2" s="49" t="s">
        <v>1</v>
      </c>
      <c r="C2" s="44"/>
      <c r="D2" s="44"/>
      <c r="E2" s="44"/>
    </row>
    <row r="4" spans="2:5" ht="28.05" customHeight="1" x14ac:dyDescent="0.3">
      <c r="B4" s="62" t="s">
        <v>2</v>
      </c>
      <c r="C4" s="46"/>
      <c r="D4" s="46"/>
      <c r="E4" s="46"/>
    </row>
    <row r="5" spans="2:5" x14ac:dyDescent="0.3">
      <c r="B5" s="2" t="s">
        <v>3</v>
      </c>
      <c r="C5" s="52" t="s">
        <v>4</v>
      </c>
      <c r="D5" s="44"/>
      <c r="E5" s="44"/>
    </row>
    <row r="6" spans="2:5" x14ac:dyDescent="0.3">
      <c r="B6" s="2" t="s">
        <v>5</v>
      </c>
      <c r="C6" s="52" t="s">
        <v>6</v>
      </c>
      <c r="D6" s="44"/>
      <c r="E6" s="44"/>
    </row>
    <row r="7" spans="2:5" x14ac:dyDescent="0.3">
      <c r="B7" s="2" t="s">
        <v>7</v>
      </c>
      <c r="C7" s="52" t="s">
        <v>8</v>
      </c>
      <c r="D7" s="44"/>
      <c r="E7" s="44"/>
    </row>
    <row r="8" spans="2:5" x14ac:dyDescent="0.3">
      <c r="B8" s="2" t="s">
        <v>9</v>
      </c>
      <c r="C8" s="52" t="s">
        <v>10</v>
      </c>
      <c r="D8" s="44"/>
      <c r="E8" s="44"/>
    </row>
    <row r="9" spans="2:5" x14ac:dyDescent="0.3">
      <c r="B9" s="2" t="s">
        <v>11</v>
      </c>
      <c r="C9" s="57" t="s">
        <v>12</v>
      </c>
      <c r="D9" s="44"/>
      <c r="E9" s="44"/>
    </row>
    <row r="10" spans="2:5" x14ac:dyDescent="0.3">
      <c r="B10" s="2" t="s">
        <v>13</v>
      </c>
      <c r="C10" s="52" t="s">
        <v>14</v>
      </c>
      <c r="D10" s="44"/>
      <c r="E10" s="44"/>
    </row>
    <row r="11" spans="2:5" x14ac:dyDescent="0.3">
      <c r="B11" s="42"/>
      <c r="C11" s="42"/>
      <c r="D11" s="42"/>
      <c r="E11" s="42"/>
    </row>
    <row r="12" spans="2:5" ht="28.05" customHeight="1" x14ac:dyDescent="0.3">
      <c r="B12" s="55" t="s">
        <v>15</v>
      </c>
      <c r="C12" s="46"/>
      <c r="D12" s="46"/>
      <c r="E12" s="46"/>
    </row>
    <row r="13" spans="2:5" x14ac:dyDescent="0.3">
      <c r="B13" s="1" t="s">
        <v>16</v>
      </c>
      <c r="C13" s="1" t="s">
        <v>17</v>
      </c>
      <c r="D13" s="49" t="s">
        <v>18</v>
      </c>
      <c r="E13" s="54"/>
    </row>
    <row r="14" spans="2:5" x14ac:dyDescent="0.3">
      <c r="B14" s="4" t="s">
        <v>19</v>
      </c>
      <c r="C14" s="5" t="s">
        <v>20</v>
      </c>
      <c r="D14" s="50">
        <v>225.06</v>
      </c>
      <c r="E14" s="54"/>
    </row>
    <row r="15" spans="2:5" x14ac:dyDescent="0.3">
      <c r="B15" s="6" t="s">
        <v>22</v>
      </c>
      <c r="C15" s="7" t="s">
        <v>20</v>
      </c>
      <c r="D15" s="51">
        <v>71.84</v>
      </c>
      <c r="E15" s="54"/>
    </row>
    <row r="16" spans="2:5" x14ac:dyDescent="0.3">
      <c r="B16" s="4" t="s">
        <v>24</v>
      </c>
      <c r="C16" s="5" t="s">
        <v>25</v>
      </c>
      <c r="D16" s="50">
        <v>0.31900000000000001</v>
      </c>
      <c r="E16" s="54"/>
    </row>
    <row r="17" spans="2:5" x14ac:dyDescent="0.3">
      <c r="B17" s="6" t="s">
        <v>26</v>
      </c>
      <c r="C17" s="7" t="s">
        <v>25</v>
      </c>
      <c r="D17" s="51">
        <v>1.357</v>
      </c>
      <c r="E17" s="54"/>
    </row>
    <row r="18" spans="2:5" x14ac:dyDescent="0.3">
      <c r="B18" s="4" t="s">
        <v>27</v>
      </c>
      <c r="C18" s="5" t="s">
        <v>25</v>
      </c>
      <c r="D18" s="50">
        <v>0.53702000000000005</v>
      </c>
      <c r="E18" s="54"/>
    </row>
    <row r="19" spans="2:5" x14ac:dyDescent="0.3">
      <c r="B19" s="6" t="s">
        <v>29</v>
      </c>
      <c r="C19" s="7" t="s">
        <v>25</v>
      </c>
      <c r="D19" s="51">
        <v>1.1156200000000001</v>
      </c>
      <c r="E19" s="54"/>
    </row>
    <row r="20" spans="2:5" x14ac:dyDescent="0.3">
      <c r="B20" s="4" t="s">
        <v>31</v>
      </c>
      <c r="C20" s="5" t="s">
        <v>25</v>
      </c>
      <c r="D20" s="50">
        <v>5.3719799999999998</v>
      </c>
      <c r="E20" s="54"/>
    </row>
    <row r="21" spans="2:5" x14ac:dyDescent="0.3">
      <c r="B21" s="6" t="s">
        <v>33</v>
      </c>
      <c r="C21" s="7" t="s">
        <v>25</v>
      </c>
      <c r="D21" s="51">
        <v>0.29832999999999998</v>
      </c>
      <c r="E21" s="54"/>
    </row>
    <row r="23" spans="2:5" ht="28.95" customHeight="1" x14ac:dyDescent="0.3">
      <c r="B23" s="61" t="s">
        <v>35</v>
      </c>
      <c r="C23" s="46"/>
      <c r="D23" s="46"/>
      <c r="E23" s="46"/>
    </row>
    <row r="24" spans="2:5" ht="18" customHeight="1" x14ac:dyDescent="0.3">
      <c r="B24" s="8" t="s">
        <v>36</v>
      </c>
      <c r="C24" s="9" t="s">
        <v>37</v>
      </c>
      <c r="D24" s="59" t="s">
        <v>38</v>
      </c>
      <c r="E24" s="54"/>
    </row>
    <row r="25" spans="2:5" ht="18" customHeight="1" x14ac:dyDescent="0.3">
      <c r="B25" s="3" t="s">
        <v>39</v>
      </c>
      <c r="C25" s="10" t="s">
        <v>40</v>
      </c>
      <c r="D25" s="60" t="s">
        <v>41</v>
      </c>
      <c r="E25" s="54"/>
    </row>
    <row r="26" spans="2:5" ht="18" customHeight="1" x14ac:dyDescent="0.3">
      <c r="B26" s="11" t="s">
        <v>42</v>
      </c>
      <c r="C26" s="12" t="s">
        <v>37</v>
      </c>
      <c r="D26" s="64" t="s">
        <v>43</v>
      </c>
      <c r="E26" s="54"/>
    </row>
    <row r="27" spans="2:5" ht="18" customHeight="1" x14ac:dyDescent="0.3">
      <c r="B27" s="3" t="s">
        <v>44</v>
      </c>
      <c r="C27" s="10" t="s">
        <v>45</v>
      </c>
      <c r="D27" s="60" t="s">
        <v>46</v>
      </c>
      <c r="E27" s="54"/>
    </row>
    <row r="28" spans="2:5" ht="18" customHeight="1" x14ac:dyDescent="0.3">
      <c r="B28" s="8" t="s">
        <v>47</v>
      </c>
      <c r="C28" s="9" t="s">
        <v>48</v>
      </c>
      <c r="D28" s="59" t="s">
        <v>49</v>
      </c>
      <c r="E28" s="54"/>
    </row>
    <row r="30" spans="2:5" ht="28.05" customHeight="1" x14ac:dyDescent="0.3">
      <c r="B30" s="56" t="s">
        <v>50</v>
      </c>
      <c r="C30" s="46"/>
      <c r="D30" s="46"/>
      <c r="E30" s="46"/>
    </row>
    <row r="31" spans="2:5" x14ac:dyDescent="0.3">
      <c r="B31" s="1" t="s">
        <v>51</v>
      </c>
      <c r="C31" s="1" t="s">
        <v>52</v>
      </c>
      <c r="D31" s="49" t="s">
        <v>53</v>
      </c>
      <c r="E31" s="54"/>
    </row>
    <row r="32" spans="2:5" x14ac:dyDescent="0.3">
      <c r="B32" s="13" t="s">
        <v>54</v>
      </c>
      <c r="C32" s="14" t="s">
        <v>55</v>
      </c>
      <c r="D32" s="53" t="s">
        <v>56</v>
      </c>
      <c r="E32" s="54"/>
    </row>
    <row r="33" spans="2:5" x14ac:dyDescent="0.3">
      <c r="B33" s="13" t="s">
        <v>54</v>
      </c>
      <c r="C33" s="14" t="s">
        <v>57</v>
      </c>
      <c r="D33" s="53" t="s">
        <v>58</v>
      </c>
      <c r="E33" s="54"/>
    </row>
    <row r="34" spans="2:5" x14ac:dyDescent="0.3">
      <c r="B34" s="13" t="s">
        <v>54</v>
      </c>
      <c r="C34" s="14" t="s">
        <v>59</v>
      </c>
      <c r="D34" s="53" t="s">
        <v>60</v>
      </c>
      <c r="E34" s="54"/>
    </row>
    <row r="35" spans="2:5" x14ac:dyDescent="0.3">
      <c r="B35" s="13" t="s">
        <v>54</v>
      </c>
      <c r="C35" s="14" t="s">
        <v>61</v>
      </c>
      <c r="D35" s="53" t="s">
        <v>62</v>
      </c>
      <c r="E35" s="54"/>
    </row>
    <row r="36" spans="2:5" x14ac:dyDescent="0.3">
      <c r="B36" s="15" t="s">
        <v>63</v>
      </c>
      <c r="C36" s="16" t="s">
        <v>64</v>
      </c>
      <c r="D36" s="63" t="s">
        <v>65</v>
      </c>
      <c r="E36" s="54"/>
    </row>
    <row r="37" spans="2:5" x14ac:dyDescent="0.3">
      <c r="B37" s="15" t="s">
        <v>63</v>
      </c>
      <c r="C37" s="16" t="s">
        <v>66</v>
      </c>
      <c r="D37" s="63" t="s">
        <v>242</v>
      </c>
      <c r="E37" s="54"/>
    </row>
    <row r="38" spans="2:5" x14ac:dyDescent="0.3">
      <c r="B38" s="15" t="s">
        <v>63</v>
      </c>
      <c r="C38" s="16" t="s">
        <v>67</v>
      </c>
      <c r="D38" s="63" t="s">
        <v>243</v>
      </c>
      <c r="E38" s="54"/>
    </row>
  </sheetData>
  <mergeCells count="34">
    <mergeCell ref="D38:E38"/>
    <mergeCell ref="D14:E14"/>
    <mergeCell ref="D26:E26"/>
    <mergeCell ref="D35:E35"/>
    <mergeCell ref="C10:E10"/>
    <mergeCell ref="D37:E37"/>
    <mergeCell ref="D36:E36"/>
    <mergeCell ref="D34:E34"/>
    <mergeCell ref="B1:E1"/>
    <mergeCell ref="D24:E24"/>
    <mergeCell ref="C5:E5"/>
    <mergeCell ref="D15:E15"/>
    <mergeCell ref="D33:E33"/>
    <mergeCell ref="D28:E28"/>
    <mergeCell ref="B2:E2"/>
    <mergeCell ref="D18:E18"/>
    <mergeCell ref="C6:E6"/>
    <mergeCell ref="D25:E25"/>
    <mergeCell ref="B23:E23"/>
    <mergeCell ref="D31:E31"/>
    <mergeCell ref="D21:E21"/>
    <mergeCell ref="B4:E4"/>
    <mergeCell ref="D13:E13"/>
    <mergeCell ref="D27:E27"/>
    <mergeCell ref="C8:E8"/>
    <mergeCell ref="D32:E32"/>
    <mergeCell ref="C7:E7"/>
    <mergeCell ref="D17:E17"/>
    <mergeCell ref="D16:E16"/>
    <mergeCell ref="B12:E12"/>
    <mergeCell ref="D20:E20"/>
    <mergeCell ref="D19:E19"/>
    <mergeCell ref="B30:E30"/>
    <mergeCell ref="C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54"/>
  <sheetViews>
    <sheetView topLeftCell="A19" workbookViewId="0"/>
  </sheetViews>
  <sheetFormatPr defaultRowHeight="14.4" x14ac:dyDescent="0.3"/>
  <cols>
    <col min="1" max="1" width="3" customWidth="1"/>
    <col min="2" max="2" width="8" customWidth="1"/>
    <col min="3" max="5" width="14" customWidth="1"/>
    <col min="6" max="8" width="18" customWidth="1"/>
    <col min="9" max="9" width="16.88671875" customWidth="1"/>
  </cols>
  <sheetData>
    <row r="1" spans="2:9" ht="30" customHeight="1" x14ac:dyDescent="0.3">
      <c r="B1" s="47" t="s">
        <v>68</v>
      </c>
      <c r="C1" s="46"/>
      <c r="D1" s="46"/>
      <c r="E1" s="46"/>
      <c r="F1" s="46"/>
      <c r="G1" s="46"/>
      <c r="H1" s="46"/>
    </row>
    <row r="3" spans="2:9" ht="39.6" x14ac:dyDescent="0.3"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</row>
    <row r="4" spans="2:9" x14ac:dyDescent="0.3">
      <c r="B4" s="17">
        <v>1</v>
      </c>
      <c r="C4" s="17">
        <v>2005</v>
      </c>
      <c r="D4" s="17">
        <v>473.5</v>
      </c>
      <c r="E4" s="17">
        <v>1</v>
      </c>
      <c r="F4" s="17">
        <v>3.1199999999999999E-2</v>
      </c>
      <c r="G4" s="17">
        <v>32</v>
      </c>
      <c r="H4" s="17">
        <v>-1.2428999999999999</v>
      </c>
      <c r="I4" s="17" t="s">
        <v>77</v>
      </c>
    </row>
    <row r="5" spans="2:9" x14ac:dyDescent="0.3">
      <c r="B5" s="7">
        <v>2</v>
      </c>
      <c r="C5" s="7">
        <v>2011</v>
      </c>
      <c r="D5" s="7">
        <v>315</v>
      </c>
      <c r="E5" s="7">
        <v>2</v>
      </c>
      <c r="F5" s="7">
        <v>6.25E-2</v>
      </c>
      <c r="G5" s="7">
        <v>16</v>
      </c>
      <c r="H5" s="7">
        <v>-1.0198</v>
      </c>
      <c r="I5" s="7"/>
    </row>
    <row r="6" spans="2:9" x14ac:dyDescent="0.3">
      <c r="B6" s="5">
        <v>3</v>
      </c>
      <c r="C6" s="5">
        <v>2003</v>
      </c>
      <c r="D6" s="5">
        <v>314</v>
      </c>
      <c r="E6" s="5">
        <v>3</v>
      </c>
      <c r="F6" s="5">
        <v>9.3799999999999994E-2</v>
      </c>
      <c r="G6" s="5">
        <v>10.67</v>
      </c>
      <c r="H6" s="5">
        <v>-0.86170000000000002</v>
      </c>
      <c r="I6" s="5"/>
    </row>
    <row r="7" spans="2:9" x14ac:dyDescent="0.3">
      <c r="B7" s="7">
        <v>4</v>
      </c>
      <c r="C7" s="7">
        <v>2020</v>
      </c>
      <c r="D7" s="7">
        <v>306.8</v>
      </c>
      <c r="E7" s="7">
        <v>4</v>
      </c>
      <c r="F7" s="7">
        <v>0.125</v>
      </c>
      <c r="G7" s="7">
        <v>8</v>
      </c>
      <c r="H7" s="7">
        <v>-0.73209999999999997</v>
      </c>
      <c r="I7" s="7"/>
    </row>
    <row r="8" spans="2:9" x14ac:dyDescent="0.3">
      <c r="B8" s="5">
        <v>5</v>
      </c>
      <c r="C8" s="5">
        <v>2023</v>
      </c>
      <c r="D8" s="5">
        <v>290</v>
      </c>
      <c r="E8" s="5">
        <v>5</v>
      </c>
      <c r="F8" s="5">
        <v>0.15620000000000001</v>
      </c>
      <c r="G8" s="5">
        <v>6.4</v>
      </c>
      <c r="H8" s="5">
        <v>-0.61860000000000004</v>
      </c>
      <c r="I8" s="5"/>
    </row>
    <row r="9" spans="2:9" x14ac:dyDescent="0.3">
      <c r="B9" s="7">
        <v>6</v>
      </c>
      <c r="C9" s="7">
        <v>2021</v>
      </c>
      <c r="D9" s="7">
        <v>284.2</v>
      </c>
      <c r="E9" s="7">
        <v>6</v>
      </c>
      <c r="F9" s="7">
        <v>0.1875</v>
      </c>
      <c r="G9" s="7">
        <v>5.33</v>
      </c>
      <c r="H9" s="7">
        <v>-0.51519999999999999</v>
      </c>
      <c r="I9" s="7"/>
    </row>
    <row r="10" spans="2:9" x14ac:dyDescent="0.3">
      <c r="B10" s="5">
        <v>7</v>
      </c>
      <c r="C10" s="5">
        <v>2001</v>
      </c>
      <c r="D10" s="5">
        <v>276</v>
      </c>
      <c r="E10" s="5">
        <v>7</v>
      </c>
      <c r="F10" s="5">
        <v>0.21879999999999999</v>
      </c>
      <c r="G10" s="5">
        <v>4.57</v>
      </c>
      <c r="H10" s="5">
        <v>-0.41860000000000003</v>
      </c>
      <c r="I10" s="5"/>
    </row>
    <row r="11" spans="2:9" x14ac:dyDescent="0.3">
      <c r="B11" s="7">
        <v>8</v>
      </c>
      <c r="C11" s="7">
        <v>2019</v>
      </c>
      <c r="D11" s="7">
        <v>271.8</v>
      </c>
      <c r="E11" s="7">
        <v>8</v>
      </c>
      <c r="F11" s="7">
        <v>0.25</v>
      </c>
      <c r="G11" s="7">
        <v>4</v>
      </c>
      <c r="H11" s="7">
        <v>-0.3266</v>
      </c>
      <c r="I11" s="7"/>
    </row>
    <row r="12" spans="2:9" x14ac:dyDescent="0.3">
      <c r="B12" s="5">
        <v>9</v>
      </c>
      <c r="C12" s="5">
        <v>2013</v>
      </c>
      <c r="D12" s="5">
        <v>256</v>
      </c>
      <c r="E12" s="5">
        <v>9</v>
      </c>
      <c r="F12" s="5">
        <v>0.28120000000000001</v>
      </c>
      <c r="G12" s="5">
        <v>3.56</v>
      </c>
      <c r="H12" s="5">
        <v>-0.23780000000000001</v>
      </c>
      <c r="I12" s="5"/>
    </row>
    <row r="13" spans="2:9" x14ac:dyDescent="0.3">
      <c r="B13" s="7">
        <v>10</v>
      </c>
      <c r="C13" s="7">
        <v>2017</v>
      </c>
      <c r="D13" s="7">
        <v>254</v>
      </c>
      <c r="E13" s="7">
        <v>10</v>
      </c>
      <c r="F13" s="7">
        <v>0.3125</v>
      </c>
      <c r="G13" s="7">
        <v>3.2</v>
      </c>
      <c r="H13" s="7">
        <v>-0.15110000000000001</v>
      </c>
      <c r="I13" s="7"/>
    </row>
    <row r="14" spans="2:9" x14ac:dyDescent="0.3">
      <c r="B14" s="5">
        <v>11</v>
      </c>
      <c r="C14" s="5">
        <v>2000</v>
      </c>
      <c r="D14" s="5">
        <v>249</v>
      </c>
      <c r="E14" s="5">
        <v>11</v>
      </c>
      <c r="F14" s="5">
        <v>0.34379999999999999</v>
      </c>
      <c r="G14" s="5">
        <v>2.91</v>
      </c>
      <c r="H14" s="5">
        <v>-6.5600000000000006E-2</v>
      </c>
      <c r="I14" s="5"/>
    </row>
    <row r="15" spans="2:9" x14ac:dyDescent="0.3">
      <c r="B15" s="7">
        <v>12</v>
      </c>
      <c r="C15" s="7">
        <v>2007</v>
      </c>
      <c r="D15" s="7">
        <v>245</v>
      </c>
      <c r="E15" s="7">
        <v>12</v>
      </c>
      <c r="F15" s="7">
        <v>0.375</v>
      </c>
      <c r="G15" s="7">
        <v>2.67</v>
      </c>
      <c r="H15" s="7">
        <v>1.9400000000000001E-2</v>
      </c>
      <c r="I15" s="7"/>
    </row>
    <row r="16" spans="2:9" x14ac:dyDescent="0.3">
      <c r="B16" s="5">
        <v>13</v>
      </c>
      <c r="C16" s="5">
        <v>1998</v>
      </c>
      <c r="D16" s="5">
        <v>241.6</v>
      </c>
      <c r="E16" s="5">
        <v>13</v>
      </c>
      <c r="F16" s="5">
        <v>0.40620000000000001</v>
      </c>
      <c r="G16" s="5">
        <v>2.46</v>
      </c>
      <c r="H16" s="5">
        <v>0.1045</v>
      </c>
      <c r="I16" s="5"/>
    </row>
    <row r="17" spans="2:9" x14ac:dyDescent="0.3">
      <c r="B17" s="7">
        <v>14</v>
      </c>
      <c r="C17" s="7">
        <v>2009</v>
      </c>
      <c r="D17" s="7">
        <v>231.6</v>
      </c>
      <c r="E17" s="7">
        <v>14</v>
      </c>
      <c r="F17" s="7">
        <v>0.4375</v>
      </c>
      <c r="G17" s="7">
        <v>2.29</v>
      </c>
      <c r="H17" s="7">
        <v>0.1903</v>
      </c>
      <c r="I17" s="7"/>
    </row>
    <row r="18" spans="2:9" x14ac:dyDescent="0.3">
      <c r="B18" s="5">
        <v>15</v>
      </c>
      <c r="C18" s="5">
        <v>2004</v>
      </c>
      <c r="D18" s="5">
        <v>216.4</v>
      </c>
      <c r="E18" s="5">
        <v>15</v>
      </c>
      <c r="F18" s="5">
        <v>0.46879999999999999</v>
      </c>
      <c r="G18" s="5">
        <v>2.13</v>
      </c>
      <c r="H18" s="5">
        <v>0.27750000000000002</v>
      </c>
      <c r="I18" s="5"/>
    </row>
    <row r="19" spans="2:9" x14ac:dyDescent="0.3">
      <c r="B19" s="7">
        <v>16</v>
      </c>
      <c r="C19" s="7">
        <v>1996</v>
      </c>
      <c r="D19" s="7">
        <v>209.2</v>
      </c>
      <c r="E19" s="7">
        <v>16</v>
      </c>
      <c r="F19" s="7">
        <v>0.5</v>
      </c>
      <c r="G19" s="7">
        <v>2</v>
      </c>
      <c r="H19" s="7">
        <v>0.36649999999999999</v>
      </c>
      <c r="I19" s="7"/>
    </row>
    <row r="20" spans="2:9" x14ac:dyDescent="0.3">
      <c r="B20" s="5">
        <v>17</v>
      </c>
      <c r="C20" s="5">
        <v>1994</v>
      </c>
      <c r="D20" s="5">
        <v>207.6</v>
      </c>
      <c r="E20" s="5">
        <v>17</v>
      </c>
      <c r="F20" s="5">
        <v>0.53120000000000001</v>
      </c>
      <c r="G20" s="5">
        <v>1.88</v>
      </c>
      <c r="H20" s="5">
        <v>0.45800000000000002</v>
      </c>
      <c r="I20" s="5"/>
    </row>
    <row r="21" spans="2:9" x14ac:dyDescent="0.3">
      <c r="B21" s="7">
        <v>18</v>
      </c>
      <c r="C21" s="7">
        <v>1992</v>
      </c>
      <c r="D21" s="7">
        <v>207.4</v>
      </c>
      <c r="E21" s="7">
        <v>18</v>
      </c>
      <c r="F21" s="7">
        <v>0.5625</v>
      </c>
      <c r="G21" s="7">
        <v>1.78</v>
      </c>
      <c r="H21" s="7">
        <v>0.55279999999999996</v>
      </c>
      <c r="I21" s="7"/>
    </row>
    <row r="22" spans="2:9" x14ac:dyDescent="0.3">
      <c r="B22" s="5">
        <v>19</v>
      </c>
      <c r="C22" s="5">
        <v>2016</v>
      </c>
      <c r="D22" s="5">
        <v>193.2</v>
      </c>
      <c r="E22" s="5">
        <v>19</v>
      </c>
      <c r="F22" s="5">
        <v>0.59379999999999999</v>
      </c>
      <c r="G22" s="5">
        <v>1.68</v>
      </c>
      <c r="H22" s="5">
        <v>0.65139999999999998</v>
      </c>
      <c r="I22" s="5"/>
    </row>
    <row r="23" spans="2:9" x14ac:dyDescent="0.3">
      <c r="B23" s="7">
        <v>20</v>
      </c>
      <c r="C23" s="7">
        <v>2002</v>
      </c>
      <c r="D23" s="7">
        <v>189</v>
      </c>
      <c r="E23" s="7">
        <v>20</v>
      </c>
      <c r="F23" s="7">
        <v>0.625</v>
      </c>
      <c r="G23" s="7">
        <v>1.6</v>
      </c>
      <c r="H23" s="7">
        <v>0.755</v>
      </c>
      <c r="I23" s="7"/>
    </row>
    <row r="24" spans="2:9" x14ac:dyDescent="0.3">
      <c r="B24" s="5">
        <v>21</v>
      </c>
      <c r="C24" s="5">
        <v>2018</v>
      </c>
      <c r="D24" s="5">
        <v>180</v>
      </c>
      <c r="E24" s="5">
        <v>21</v>
      </c>
      <c r="F24" s="5">
        <v>0.65620000000000001</v>
      </c>
      <c r="G24" s="5">
        <v>1.52</v>
      </c>
      <c r="H24" s="5">
        <v>0.86460000000000004</v>
      </c>
      <c r="I24" s="5"/>
    </row>
    <row r="25" spans="2:9" x14ac:dyDescent="0.3">
      <c r="B25" s="7">
        <v>22</v>
      </c>
      <c r="C25" s="7">
        <v>2008</v>
      </c>
      <c r="D25" s="7">
        <v>176.2</v>
      </c>
      <c r="E25" s="7">
        <v>22</v>
      </c>
      <c r="F25" s="7">
        <v>0.6875</v>
      </c>
      <c r="G25" s="7">
        <v>1.45</v>
      </c>
      <c r="H25" s="7">
        <v>0.98160000000000003</v>
      </c>
      <c r="I25" s="7"/>
    </row>
    <row r="26" spans="2:9" x14ac:dyDescent="0.3">
      <c r="B26" s="5">
        <v>23</v>
      </c>
      <c r="C26" s="5">
        <v>2014</v>
      </c>
      <c r="D26" s="5">
        <v>172.6</v>
      </c>
      <c r="E26" s="5">
        <v>23</v>
      </c>
      <c r="F26" s="5">
        <v>0.71879999999999999</v>
      </c>
      <c r="G26" s="5">
        <v>1.39</v>
      </c>
      <c r="H26" s="5">
        <v>1.1079000000000001</v>
      </c>
      <c r="I26" s="5"/>
    </row>
    <row r="27" spans="2:9" x14ac:dyDescent="0.3">
      <c r="B27" s="7">
        <v>24</v>
      </c>
      <c r="C27" s="7">
        <v>2022</v>
      </c>
      <c r="D27" s="7">
        <v>172.2</v>
      </c>
      <c r="E27" s="7">
        <v>24</v>
      </c>
      <c r="F27" s="7">
        <v>0.75</v>
      </c>
      <c r="G27" s="7">
        <v>1.33</v>
      </c>
      <c r="H27" s="7">
        <v>1.2459</v>
      </c>
      <c r="I27" s="7"/>
    </row>
    <row r="28" spans="2:9" x14ac:dyDescent="0.3">
      <c r="B28" s="5">
        <v>25</v>
      </c>
      <c r="C28" s="5">
        <v>2012</v>
      </c>
      <c r="D28" s="5">
        <v>163</v>
      </c>
      <c r="E28" s="5">
        <v>25</v>
      </c>
      <c r="F28" s="5">
        <v>0.78120000000000001</v>
      </c>
      <c r="G28" s="5">
        <v>1.28</v>
      </c>
      <c r="H28" s="5">
        <v>1.3989</v>
      </c>
      <c r="I28" s="5"/>
    </row>
    <row r="29" spans="2:9" x14ac:dyDescent="0.3">
      <c r="B29" s="7">
        <v>26</v>
      </c>
      <c r="C29" s="7">
        <v>2010</v>
      </c>
      <c r="D29" s="7">
        <v>162.80000000000001</v>
      </c>
      <c r="E29" s="7">
        <v>26</v>
      </c>
      <c r="F29" s="7">
        <v>0.8125</v>
      </c>
      <c r="G29" s="7">
        <v>1.23</v>
      </c>
      <c r="H29" s="7">
        <v>1.5720000000000001</v>
      </c>
      <c r="I29" s="7"/>
    </row>
    <row r="30" spans="2:9" x14ac:dyDescent="0.3">
      <c r="B30" s="5">
        <v>27</v>
      </c>
      <c r="C30" s="5">
        <v>2024</v>
      </c>
      <c r="D30" s="5">
        <v>155</v>
      </c>
      <c r="E30" s="5">
        <v>27</v>
      </c>
      <c r="F30" s="5">
        <v>0.84379999999999999</v>
      </c>
      <c r="G30" s="5">
        <v>1.19</v>
      </c>
      <c r="H30" s="5">
        <v>1.7726</v>
      </c>
      <c r="I30" s="5"/>
    </row>
    <row r="31" spans="2:9" x14ac:dyDescent="0.3">
      <c r="B31" s="7">
        <v>28</v>
      </c>
      <c r="C31" s="7">
        <v>2015</v>
      </c>
      <c r="D31" s="7">
        <v>152</v>
      </c>
      <c r="E31" s="7">
        <v>28</v>
      </c>
      <c r="F31" s="7">
        <v>0.875</v>
      </c>
      <c r="G31" s="7">
        <v>1.1399999999999999</v>
      </c>
      <c r="H31" s="7">
        <v>2.0133999999999999</v>
      </c>
      <c r="I31" s="7"/>
    </row>
    <row r="32" spans="2:9" x14ac:dyDescent="0.3">
      <c r="B32" s="5">
        <v>29</v>
      </c>
      <c r="C32" s="5">
        <v>1999</v>
      </c>
      <c r="D32" s="5">
        <v>150.19999999999999</v>
      </c>
      <c r="E32" s="5">
        <v>29</v>
      </c>
      <c r="F32" s="5">
        <v>0.90620000000000001</v>
      </c>
      <c r="G32" s="5">
        <v>1.1000000000000001</v>
      </c>
      <c r="H32" s="5">
        <v>2.3182999999999998</v>
      </c>
      <c r="I32" s="5"/>
    </row>
    <row r="33" spans="2:9" x14ac:dyDescent="0.3">
      <c r="B33" s="7">
        <v>30</v>
      </c>
      <c r="C33" s="7">
        <v>1993</v>
      </c>
      <c r="D33" s="7">
        <v>143</v>
      </c>
      <c r="E33" s="7">
        <v>30</v>
      </c>
      <c r="F33" s="7">
        <v>0.9375</v>
      </c>
      <c r="G33" s="7">
        <v>1.07</v>
      </c>
      <c r="H33" s="7">
        <v>2.7404999999999999</v>
      </c>
      <c r="I33" s="7"/>
    </row>
    <row r="34" spans="2:9" x14ac:dyDescent="0.3">
      <c r="B34" s="5">
        <v>31</v>
      </c>
      <c r="C34" s="5">
        <v>1995</v>
      </c>
      <c r="D34" s="5">
        <v>118.6</v>
      </c>
      <c r="E34" s="5">
        <v>31</v>
      </c>
      <c r="F34" s="5">
        <v>0.96879999999999999</v>
      </c>
      <c r="G34" s="5">
        <v>1.03</v>
      </c>
      <c r="H34" s="5">
        <v>3.4499</v>
      </c>
      <c r="I34" s="5"/>
    </row>
    <row r="37" spans="2:9" ht="28.05" customHeight="1" x14ac:dyDescent="0.3">
      <c r="B37" s="48" t="s">
        <v>78</v>
      </c>
      <c r="C37" s="46"/>
      <c r="D37" s="46"/>
      <c r="E37" s="46"/>
    </row>
    <row r="38" spans="2:9" x14ac:dyDescent="0.3">
      <c r="B38" s="2" t="s">
        <v>79</v>
      </c>
      <c r="C38" s="18">
        <v>31</v>
      </c>
    </row>
    <row r="39" spans="2:9" x14ac:dyDescent="0.3">
      <c r="B39" s="19" t="s">
        <v>80</v>
      </c>
      <c r="C39" s="7">
        <v>225.06</v>
      </c>
    </row>
    <row r="40" spans="2:9" x14ac:dyDescent="0.3">
      <c r="B40" s="2" t="s">
        <v>81</v>
      </c>
      <c r="C40" s="7">
        <v>71.84</v>
      </c>
    </row>
    <row r="41" spans="2:9" x14ac:dyDescent="0.3">
      <c r="B41" s="19" t="s">
        <v>82</v>
      </c>
      <c r="C41" s="20">
        <v>0.31919999999999998</v>
      </c>
    </row>
    <row r="42" spans="2:9" x14ac:dyDescent="0.3">
      <c r="B42" s="2" t="s">
        <v>83</v>
      </c>
      <c r="C42" s="20">
        <v>1.3566</v>
      </c>
    </row>
    <row r="43" spans="2:9" x14ac:dyDescent="0.3">
      <c r="B43" s="19" t="s">
        <v>84</v>
      </c>
      <c r="C43" s="20">
        <v>3.3113000000000001</v>
      </c>
    </row>
    <row r="44" spans="2:9" x14ac:dyDescent="0.3">
      <c r="B44" s="2" t="s">
        <v>85</v>
      </c>
      <c r="C44" s="21">
        <v>473.5</v>
      </c>
    </row>
    <row r="45" spans="2:9" x14ac:dyDescent="0.3">
      <c r="B45" s="19" t="s">
        <v>86</v>
      </c>
      <c r="C45" s="21">
        <v>118.6</v>
      </c>
    </row>
    <row r="48" spans="2:9" ht="28.05" customHeight="1" x14ac:dyDescent="0.3">
      <c r="B48" s="45" t="s">
        <v>87</v>
      </c>
      <c r="C48" s="46"/>
      <c r="D48" s="46"/>
      <c r="E48" s="46"/>
      <c r="F48" s="46"/>
    </row>
    <row r="49" spans="2:6" ht="26.4" x14ac:dyDescent="0.3">
      <c r="B49" s="1" t="s">
        <v>16</v>
      </c>
      <c r="C49" s="49" t="s">
        <v>88</v>
      </c>
      <c r="D49" s="65"/>
      <c r="E49" s="65"/>
      <c r="F49" s="54"/>
    </row>
    <row r="50" spans="2:6" x14ac:dyDescent="0.3">
      <c r="B50" s="8" t="s">
        <v>89</v>
      </c>
      <c r="C50" s="66" t="s">
        <v>90</v>
      </c>
      <c r="D50" s="65"/>
      <c r="E50" s="65"/>
      <c r="F50" s="54"/>
    </row>
    <row r="51" spans="2:6" x14ac:dyDescent="0.3">
      <c r="B51" s="3" t="s">
        <v>91</v>
      </c>
      <c r="C51" s="52" t="s">
        <v>92</v>
      </c>
      <c r="D51" s="65"/>
      <c r="E51" s="65"/>
      <c r="F51" s="54"/>
    </row>
    <row r="52" spans="2:6" x14ac:dyDescent="0.3">
      <c r="B52" s="8" t="s">
        <v>93</v>
      </c>
      <c r="C52" s="66" t="s">
        <v>25</v>
      </c>
      <c r="D52" s="65"/>
      <c r="E52" s="65"/>
      <c r="F52" s="54"/>
    </row>
    <row r="53" spans="2:6" x14ac:dyDescent="0.3">
      <c r="B53" s="11" t="s">
        <v>53</v>
      </c>
      <c r="C53" s="67" t="s">
        <v>94</v>
      </c>
      <c r="D53" s="65"/>
      <c r="E53" s="65"/>
      <c r="F53" s="54"/>
    </row>
    <row r="54" spans="2:6" x14ac:dyDescent="0.3">
      <c r="B54" s="8" t="s">
        <v>95</v>
      </c>
      <c r="C54" s="66" t="s">
        <v>96</v>
      </c>
      <c r="D54" s="65"/>
      <c r="E54" s="65"/>
      <c r="F54" s="54"/>
    </row>
  </sheetData>
  <mergeCells count="9">
    <mergeCell ref="B1:H1"/>
    <mergeCell ref="C49:F49"/>
    <mergeCell ref="B48:F48"/>
    <mergeCell ref="C54:F54"/>
    <mergeCell ref="C51:F51"/>
    <mergeCell ref="B37:E37"/>
    <mergeCell ref="C50:F50"/>
    <mergeCell ref="C52:F52"/>
    <mergeCell ref="C53:F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4"/>
  <sheetViews>
    <sheetView topLeftCell="A10" workbookViewId="0">
      <selection activeCell="I27" sqref="I27"/>
    </sheetView>
  </sheetViews>
  <sheetFormatPr defaultRowHeight="14.4" x14ac:dyDescent="0.3"/>
  <cols>
    <col min="1" max="1" width="3" customWidth="1"/>
    <col min="2" max="2" width="16" customWidth="1"/>
    <col min="3" max="5" width="13" customWidth="1"/>
    <col min="6" max="8" width="17" customWidth="1"/>
    <col min="9" max="9" width="22" customWidth="1"/>
  </cols>
  <sheetData>
    <row r="1" spans="2:9" ht="30" customHeight="1" x14ac:dyDescent="0.3">
      <c r="B1" s="47" t="s">
        <v>97</v>
      </c>
      <c r="C1" s="46"/>
      <c r="D1" s="46"/>
      <c r="E1" s="46"/>
      <c r="F1" s="46"/>
      <c r="G1" s="46"/>
      <c r="H1" s="46"/>
      <c r="I1" s="46"/>
    </row>
    <row r="3" spans="2:9" ht="28.05" customHeight="1" x14ac:dyDescent="0.3">
      <c r="B3" s="72" t="s">
        <v>98</v>
      </c>
      <c r="C3" s="73"/>
      <c r="D3" s="73"/>
      <c r="E3" s="73"/>
      <c r="F3" s="73"/>
      <c r="G3" s="73"/>
      <c r="H3" s="73"/>
      <c r="I3" s="73"/>
    </row>
    <row r="4" spans="2:9" x14ac:dyDescent="0.3">
      <c r="B4" s="1" t="s">
        <v>16</v>
      </c>
      <c r="C4" s="1" t="s">
        <v>18</v>
      </c>
      <c r="D4" s="1" t="s">
        <v>17</v>
      </c>
      <c r="E4" s="69" t="s">
        <v>99</v>
      </c>
      <c r="F4" s="44"/>
      <c r="G4" s="44"/>
      <c r="H4" s="44"/>
      <c r="I4" s="44"/>
    </row>
    <row r="5" spans="2:9" x14ac:dyDescent="0.3">
      <c r="B5" s="4" t="s">
        <v>100</v>
      </c>
      <c r="C5" s="22" t="s">
        <v>101</v>
      </c>
      <c r="D5" s="70" t="s">
        <v>102</v>
      </c>
      <c r="E5" s="44"/>
      <c r="F5" s="44"/>
      <c r="G5" s="44"/>
      <c r="H5" s="44"/>
      <c r="I5" s="44"/>
    </row>
    <row r="6" spans="2:9" x14ac:dyDescent="0.3">
      <c r="B6" s="6" t="s">
        <v>103</v>
      </c>
      <c r="C6" s="23" t="s">
        <v>21</v>
      </c>
      <c r="D6" s="71" t="s">
        <v>20</v>
      </c>
      <c r="E6" s="44"/>
      <c r="F6" s="44"/>
      <c r="G6" s="44"/>
      <c r="H6" s="44"/>
      <c r="I6" s="44"/>
    </row>
    <row r="7" spans="2:9" x14ac:dyDescent="0.3">
      <c r="B7" s="4" t="s">
        <v>104</v>
      </c>
      <c r="C7" s="22" t="s">
        <v>23</v>
      </c>
      <c r="D7" s="70" t="s">
        <v>20</v>
      </c>
      <c r="E7" s="44"/>
      <c r="F7" s="44"/>
      <c r="G7" s="44"/>
      <c r="H7" s="44"/>
      <c r="I7" s="44"/>
    </row>
    <row r="8" spans="2:9" x14ac:dyDescent="0.3">
      <c r="B8" s="6" t="s">
        <v>105</v>
      </c>
      <c r="C8" s="23" t="s">
        <v>28</v>
      </c>
      <c r="D8" s="71" t="s">
        <v>106</v>
      </c>
      <c r="E8" s="44"/>
      <c r="F8" s="44"/>
      <c r="G8" s="44"/>
      <c r="H8" s="44"/>
      <c r="I8" s="44"/>
    </row>
    <row r="9" spans="2:9" x14ac:dyDescent="0.3">
      <c r="B9" s="4" t="s">
        <v>107</v>
      </c>
      <c r="C9" s="22" t="s">
        <v>30</v>
      </c>
      <c r="D9" s="70" t="s">
        <v>108</v>
      </c>
      <c r="E9" s="44"/>
      <c r="F9" s="44"/>
      <c r="G9" s="44"/>
      <c r="H9" s="44"/>
      <c r="I9" s="44"/>
    </row>
    <row r="12" spans="2:9" x14ac:dyDescent="0.3">
      <c r="B12" s="43" t="s">
        <v>109</v>
      </c>
      <c r="C12" s="44"/>
      <c r="D12" s="44"/>
      <c r="E12" s="44"/>
      <c r="F12" s="44"/>
      <c r="G12" s="44"/>
      <c r="H12" s="44"/>
      <c r="I12" s="44"/>
    </row>
    <row r="13" spans="2:9" x14ac:dyDescent="0.3">
      <c r="B13" s="68" t="s">
        <v>110</v>
      </c>
      <c r="C13" s="44"/>
      <c r="D13" s="44"/>
      <c r="E13" s="44"/>
      <c r="F13" s="44"/>
      <c r="G13" s="44"/>
      <c r="H13" s="44"/>
      <c r="I13" s="44"/>
    </row>
    <row r="15" spans="2:9" ht="28.05" customHeight="1" x14ac:dyDescent="0.3">
      <c r="B15" s="45" t="s">
        <v>111</v>
      </c>
      <c r="C15" s="46"/>
      <c r="D15" s="46"/>
      <c r="E15" s="46"/>
      <c r="F15" s="46"/>
      <c r="G15" s="46"/>
      <c r="H15" s="46"/>
      <c r="I15" s="46"/>
    </row>
    <row r="16" spans="2:9" ht="26.4" x14ac:dyDescent="0.3">
      <c r="B16" s="1" t="s">
        <v>112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117</v>
      </c>
      <c r="H16" s="1" t="s">
        <v>118</v>
      </c>
      <c r="I16" s="1" t="s">
        <v>119</v>
      </c>
    </row>
    <row r="17" spans="2:9" x14ac:dyDescent="0.3">
      <c r="B17" s="5">
        <v>2</v>
      </c>
      <c r="C17" s="5">
        <v>0.5</v>
      </c>
      <c r="D17" s="5">
        <v>0.5</v>
      </c>
      <c r="E17" s="5">
        <v>0.36649999999999999</v>
      </c>
      <c r="F17" s="5">
        <v>-0.15279999999999999</v>
      </c>
      <c r="G17" s="5">
        <v>214.08</v>
      </c>
      <c r="H17" s="5">
        <v>193.16</v>
      </c>
      <c r="I17" s="24"/>
    </row>
    <row r="18" spans="2:9" x14ac:dyDescent="0.3">
      <c r="B18" s="7">
        <v>5</v>
      </c>
      <c r="C18" s="7">
        <v>0.2</v>
      </c>
      <c r="D18" s="7">
        <v>0.8</v>
      </c>
      <c r="E18" s="7">
        <v>1.4999</v>
      </c>
      <c r="F18" s="7">
        <v>0.86309999999999998</v>
      </c>
      <c r="G18" s="7">
        <v>287.07</v>
      </c>
      <c r="H18" s="7">
        <v>249.12</v>
      </c>
      <c r="I18" s="25"/>
    </row>
    <row r="19" spans="2:9" x14ac:dyDescent="0.3">
      <c r="B19" s="5">
        <v>10</v>
      </c>
      <c r="C19" s="5">
        <v>0.1</v>
      </c>
      <c r="D19" s="5">
        <v>0.9</v>
      </c>
      <c r="E19" s="5">
        <v>2.2504</v>
      </c>
      <c r="F19" s="5">
        <v>1.5358000000000001</v>
      </c>
      <c r="G19" s="5">
        <v>335.4</v>
      </c>
      <c r="H19" s="5">
        <v>282.99</v>
      </c>
      <c r="I19" s="24"/>
    </row>
    <row r="20" spans="2:9" x14ac:dyDescent="0.3">
      <c r="B20" s="7">
        <v>25</v>
      </c>
      <c r="C20" s="7">
        <v>0.04</v>
      </c>
      <c r="D20" s="7">
        <v>0.96</v>
      </c>
      <c r="E20" s="7">
        <v>3.1985000000000001</v>
      </c>
      <c r="F20" s="7">
        <v>2.3856999999999999</v>
      </c>
      <c r="G20" s="7">
        <v>396.46</v>
      </c>
      <c r="H20" s="7">
        <v>324.83999999999997</v>
      </c>
      <c r="I20" s="25"/>
    </row>
    <row r="21" spans="2:9" x14ac:dyDescent="0.3">
      <c r="B21" s="5">
        <v>50</v>
      </c>
      <c r="C21" s="5">
        <v>0.02</v>
      </c>
      <c r="D21" s="5">
        <v>0.98</v>
      </c>
      <c r="E21" s="5">
        <v>3.9018999999999999</v>
      </c>
      <c r="F21" s="5">
        <v>3.0162</v>
      </c>
      <c r="G21" s="5">
        <v>441.76</v>
      </c>
      <c r="H21" s="5">
        <v>355.6</v>
      </c>
      <c r="I21" s="24"/>
    </row>
    <row r="22" spans="2:9" x14ac:dyDescent="0.3">
      <c r="B22" s="26">
        <v>100</v>
      </c>
      <c r="C22" s="26">
        <v>0.01</v>
      </c>
      <c r="D22" s="26">
        <v>0.99</v>
      </c>
      <c r="E22" s="26">
        <v>4.6001000000000003</v>
      </c>
      <c r="F22" s="26">
        <v>3.6419999999999999</v>
      </c>
      <c r="G22" s="27">
        <v>486.72</v>
      </c>
      <c r="H22" s="27">
        <v>386</v>
      </c>
      <c r="I22" s="28" t="s">
        <v>120</v>
      </c>
    </row>
    <row r="23" spans="2:9" x14ac:dyDescent="0.3">
      <c r="B23" s="5">
        <v>200</v>
      </c>
      <c r="C23" s="5">
        <v>5.0000000000000001E-3</v>
      </c>
      <c r="D23" s="5">
        <v>0.995</v>
      </c>
      <c r="E23" s="5">
        <v>5.2957999999999998</v>
      </c>
      <c r="F23" s="5">
        <v>4.2656000000000001</v>
      </c>
      <c r="G23" s="5">
        <v>531.52</v>
      </c>
      <c r="H23" s="5">
        <v>416.2</v>
      </c>
      <c r="I23" s="24"/>
    </row>
    <row r="24" spans="2:9" x14ac:dyDescent="0.3">
      <c r="B24" s="7">
        <v>1000</v>
      </c>
      <c r="C24" s="7">
        <v>1E-3</v>
      </c>
      <c r="D24" s="7">
        <v>0.999</v>
      </c>
      <c r="E24" s="7">
        <v>6.9073000000000002</v>
      </c>
      <c r="F24" s="7">
        <v>5.71</v>
      </c>
      <c r="G24" s="7">
        <v>635.29</v>
      </c>
      <c r="H24" s="7">
        <v>486</v>
      </c>
      <c r="I24" s="25" t="s">
        <v>121</v>
      </c>
    </row>
  </sheetData>
  <mergeCells count="11">
    <mergeCell ref="B1:I1"/>
    <mergeCell ref="D7:I7"/>
    <mergeCell ref="D8:I8"/>
    <mergeCell ref="B3:I3"/>
    <mergeCell ref="B12:I12"/>
    <mergeCell ref="B13:I13"/>
    <mergeCell ref="E4:I4"/>
    <mergeCell ref="B15:I15"/>
    <mergeCell ref="D5:I5"/>
    <mergeCell ref="D9:I9"/>
    <mergeCell ref="D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1"/>
  <sheetViews>
    <sheetView topLeftCell="A4" zoomScale="96" workbookViewId="0">
      <selection activeCell="B3" sqref="B3:G3"/>
    </sheetView>
  </sheetViews>
  <sheetFormatPr defaultRowHeight="14.4" x14ac:dyDescent="0.3"/>
  <cols>
    <col min="1" max="1" width="3" customWidth="1"/>
    <col min="2" max="2" width="27.6640625" customWidth="1"/>
    <col min="3" max="5" width="13" customWidth="1"/>
    <col min="6" max="6" width="17" customWidth="1"/>
    <col min="7" max="7" width="22" customWidth="1"/>
  </cols>
  <sheetData>
    <row r="1" spans="2:7" ht="30" customHeight="1" x14ac:dyDescent="0.3">
      <c r="B1" s="47" t="s">
        <v>122</v>
      </c>
      <c r="C1" s="46"/>
      <c r="D1" s="46"/>
      <c r="E1" s="46"/>
      <c r="F1" s="46"/>
      <c r="G1" s="46"/>
    </row>
    <row r="3" spans="2:7" ht="28.05" customHeight="1" x14ac:dyDescent="0.3">
      <c r="B3" s="74" t="s">
        <v>123</v>
      </c>
      <c r="C3" s="75"/>
      <c r="D3" s="75"/>
      <c r="E3" s="75"/>
      <c r="F3" s="75"/>
      <c r="G3" s="75"/>
    </row>
    <row r="4" spans="2:7" x14ac:dyDescent="0.3">
      <c r="B4" s="1" t="s">
        <v>16</v>
      </c>
      <c r="C4" s="1" t="s">
        <v>18</v>
      </c>
      <c r="D4" s="49" t="s">
        <v>17</v>
      </c>
      <c r="E4" s="46"/>
      <c r="F4" s="46"/>
      <c r="G4" s="46"/>
    </row>
    <row r="5" spans="2:7" x14ac:dyDescent="0.3">
      <c r="B5" s="5" t="s">
        <v>100</v>
      </c>
      <c r="C5" s="22" t="s">
        <v>101</v>
      </c>
      <c r="D5" s="50" t="s">
        <v>102</v>
      </c>
      <c r="E5" s="65"/>
      <c r="F5" s="65"/>
      <c r="G5" s="54"/>
    </row>
    <row r="6" spans="2:7" x14ac:dyDescent="0.3">
      <c r="B6" s="7" t="s">
        <v>124</v>
      </c>
      <c r="C6" s="23" t="s">
        <v>32</v>
      </c>
      <c r="D6" s="51" t="s">
        <v>25</v>
      </c>
      <c r="E6" s="65"/>
      <c r="F6" s="65"/>
      <c r="G6" s="54"/>
    </row>
    <row r="7" spans="2:7" x14ac:dyDescent="0.3">
      <c r="B7" s="5" t="s">
        <v>125</v>
      </c>
      <c r="C7" s="22" t="s">
        <v>34</v>
      </c>
      <c r="D7" s="50" t="s">
        <v>25</v>
      </c>
      <c r="E7" s="65"/>
      <c r="F7" s="65"/>
      <c r="G7" s="54"/>
    </row>
    <row r="8" spans="2:7" x14ac:dyDescent="0.3">
      <c r="B8" s="7" t="s">
        <v>126</v>
      </c>
      <c r="C8" s="23" t="s">
        <v>127</v>
      </c>
      <c r="D8" s="51" t="s">
        <v>128</v>
      </c>
      <c r="E8" s="65"/>
      <c r="F8" s="65"/>
      <c r="G8" s="54"/>
    </row>
    <row r="10" spans="2:7" x14ac:dyDescent="0.3">
      <c r="B10" s="43" t="s">
        <v>129</v>
      </c>
      <c r="C10" s="46"/>
      <c r="D10" s="46"/>
      <c r="E10" s="46"/>
      <c r="F10" s="46"/>
      <c r="G10" s="46"/>
    </row>
    <row r="12" spans="2:7" ht="28.05" customHeight="1" x14ac:dyDescent="0.3">
      <c r="B12" s="45" t="s">
        <v>130</v>
      </c>
      <c r="C12" s="46"/>
      <c r="D12" s="46"/>
      <c r="E12" s="46"/>
      <c r="F12" s="46"/>
      <c r="G12" s="46"/>
    </row>
    <row r="13" spans="2:7" ht="39.6" x14ac:dyDescent="0.3">
      <c r="B13" s="1" t="s">
        <v>112</v>
      </c>
      <c r="C13" s="1" t="s">
        <v>131</v>
      </c>
      <c r="D13" s="1" t="s">
        <v>132</v>
      </c>
      <c r="E13" s="1" t="s">
        <v>133</v>
      </c>
      <c r="F13" s="1" t="s">
        <v>117</v>
      </c>
      <c r="G13" s="1" t="s">
        <v>134</v>
      </c>
    </row>
    <row r="14" spans="2:7" x14ac:dyDescent="0.3">
      <c r="B14" s="5">
        <v>2</v>
      </c>
      <c r="C14" s="5">
        <v>0.5</v>
      </c>
      <c r="D14" s="5">
        <v>0.5</v>
      </c>
      <c r="E14" s="5">
        <v>0</v>
      </c>
      <c r="F14" s="5">
        <v>215.29</v>
      </c>
      <c r="G14" s="24"/>
    </row>
    <row r="15" spans="2:7" x14ac:dyDescent="0.3">
      <c r="B15" s="7">
        <v>5</v>
      </c>
      <c r="C15" s="7">
        <v>0.2</v>
      </c>
      <c r="D15" s="7">
        <v>0.8</v>
      </c>
      <c r="E15" s="7">
        <v>0.84160000000000001</v>
      </c>
      <c r="F15" s="7">
        <v>276.73</v>
      </c>
      <c r="G15" s="25"/>
    </row>
    <row r="16" spans="2:7" x14ac:dyDescent="0.3">
      <c r="B16" s="5">
        <v>10</v>
      </c>
      <c r="C16" s="5">
        <v>0.1</v>
      </c>
      <c r="D16" s="5">
        <v>0.9</v>
      </c>
      <c r="E16" s="5">
        <v>1.2816000000000001</v>
      </c>
      <c r="F16" s="5">
        <v>315.55</v>
      </c>
      <c r="G16" s="24"/>
    </row>
    <row r="17" spans="2:7" x14ac:dyDescent="0.3">
      <c r="B17" s="7">
        <v>25</v>
      </c>
      <c r="C17" s="7">
        <v>0.04</v>
      </c>
      <c r="D17" s="7">
        <v>0.96</v>
      </c>
      <c r="E17" s="7">
        <v>1.7506999999999999</v>
      </c>
      <c r="F17" s="7">
        <v>362.95</v>
      </c>
      <c r="G17" s="25"/>
    </row>
    <row r="18" spans="2:7" x14ac:dyDescent="0.3">
      <c r="B18" s="5">
        <v>50</v>
      </c>
      <c r="C18" s="5">
        <v>0.02</v>
      </c>
      <c r="D18" s="5">
        <v>0.98</v>
      </c>
      <c r="E18" s="5">
        <v>2.0537000000000001</v>
      </c>
      <c r="F18" s="5">
        <v>397.29</v>
      </c>
      <c r="G18" s="24"/>
    </row>
    <row r="19" spans="2:7" x14ac:dyDescent="0.3">
      <c r="B19" s="26">
        <v>100</v>
      </c>
      <c r="C19" s="26">
        <v>0.01</v>
      </c>
      <c r="D19" s="26">
        <v>0.99</v>
      </c>
      <c r="E19" s="26">
        <v>2.3262999999999998</v>
      </c>
      <c r="F19" s="26">
        <v>430.95</v>
      </c>
      <c r="G19" s="28" t="s">
        <v>135</v>
      </c>
    </row>
    <row r="20" spans="2:7" x14ac:dyDescent="0.3">
      <c r="B20" s="5">
        <v>200</v>
      </c>
      <c r="C20" s="5">
        <v>5.0000000000000001E-3</v>
      </c>
      <c r="D20" s="5">
        <v>0.995</v>
      </c>
      <c r="E20" s="5">
        <v>2.5758000000000001</v>
      </c>
      <c r="F20" s="5">
        <v>464.25</v>
      </c>
      <c r="G20" s="24"/>
    </row>
    <row r="21" spans="2:7" x14ac:dyDescent="0.3">
      <c r="B21" s="7">
        <v>1000</v>
      </c>
      <c r="C21" s="7">
        <v>1E-3</v>
      </c>
      <c r="D21" s="7">
        <v>0.999</v>
      </c>
      <c r="E21" s="7">
        <v>3.0901999999999998</v>
      </c>
      <c r="F21" s="7">
        <v>541.25</v>
      </c>
      <c r="G21" s="25"/>
    </row>
  </sheetData>
  <mergeCells count="9">
    <mergeCell ref="B1:G1"/>
    <mergeCell ref="D7:G7"/>
    <mergeCell ref="B12:G12"/>
    <mergeCell ref="D5:G5"/>
    <mergeCell ref="D4:G4"/>
    <mergeCell ref="B3:G3"/>
    <mergeCell ref="B10:G10"/>
    <mergeCell ref="D8:G8"/>
    <mergeCell ref="D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56"/>
  <sheetViews>
    <sheetView zoomScale="63" workbookViewId="0">
      <selection activeCell="K8" sqref="K8"/>
    </sheetView>
  </sheetViews>
  <sheetFormatPr defaultRowHeight="14.4" x14ac:dyDescent="0.3"/>
  <cols>
    <col min="1" max="1" width="3" customWidth="1"/>
    <col min="2" max="2" width="16" customWidth="1"/>
    <col min="3" max="8" width="14" customWidth="1"/>
    <col min="9" max="9" width="24.21875" customWidth="1"/>
    <col min="11" max="11" width="18" customWidth="1"/>
    <col min="12" max="18" width="16.44140625" customWidth="1"/>
  </cols>
  <sheetData>
    <row r="1" spans="2:18" ht="30" customHeight="1" x14ac:dyDescent="0.3">
      <c r="B1" s="47" t="s">
        <v>136</v>
      </c>
      <c r="C1" s="46"/>
      <c r="D1" s="46"/>
      <c r="E1" s="46"/>
      <c r="F1" s="46"/>
      <c r="G1" s="46"/>
      <c r="H1" s="46"/>
      <c r="I1" s="46"/>
      <c r="K1" s="45" t="s">
        <v>151</v>
      </c>
      <c r="L1" s="46"/>
      <c r="M1" s="46"/>
      <c r="N1" s="46"/>
      <c r="O1" s="46"/>
      <c r="P1" s="46"/>
      <c r="Q1" s="46"/>
      <c r="R1" s="46"/>
    </row>
    <row r="2" spans="2:18" ht="40.799999999999997" customHeight="1" x14ac:dyDescent="0.3">
      <c r="K2" s="1" t="s">
        <v>112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R2" s="1" t="s">
        <v>158</v>
      </c>
    </row>
    <row r="3" spans="2:18" ht="28.05" customHeight="1" x14ac:dyDescent="0.3">
      <c r="B3" s="45" t="s">
        <v>137</v>
      </c>
      <c r="C3" s="46"/>
      <c r="D3" s="46"/>
      <c r="E3" s="46"/>
      <c r="F3" s="46"/>
      <c r="K3" s="5">
        <v>2</v>
      </c>
      <c r="L3" s="5">
        <v>214.08</v>
      </c>
      <c r="M3" s="5">
        <v>193.16</v>
      </c>
      <c r="N3" s="5">
        <v>235</v>
      </c>
      <c r="O3" s="5">
        <v>215.29</v>
      </c>
      <c r="P3" s="5">
        <v>-1.21</v>
      </c>
      <c r="Q3" s="32">
        <v>-0.6</v>
      </c>
      <c r="R3" s="5" t="s">
        <v>159</v>
      </c>
    </row>
    <row r="4" spans="2:18" x14ac:dyDescent="0.3">
      <c r="B4" s="2" t="s">
        <v>138</v>
      </c>
      <c r="C4" s="81" t="s">
        <v>139</v>
      </c>
      <c r="D4" s="65"/>
      <c r="E4" s="65"/>
      <c r="F4" s="54"/>
      <c r="K4" s="7">
        <v>5</v>
      </c>
      <c r="L4" s="7">
        <v>287.07</v>
      </c>
      <c r="M4" s="7">
        <v>249.12</v>
      </c>
      <c r="N4" s="7">
        <v>325.02999999999997</v>
      </c>
      <c r="O4" s="7">
        <v>276.73</v>
      </c>
      <c r="P4" s="7">
        <v>10.34</v>
      </c>
      <c r="Q4" s="21">
        <v>3.7</v>
      </c>
      <c r="R4" s="7" t="s">
        <v>160</v>
      </c>
    </row>
    <row r="5" spans="2:18" x14ac:dyDescent="0.3">
      <c r="B5" s="19" t="s">
        <v>140</v>
      </c>
      <c r="C5" s="77" t="s">
        <v>101</v>
      </c>
      <c r="D5" s="65"/>
      <c r="E5" s="65"/>
      <c r="F5" s="54"/>
      <c r="K5" s="5">
        <v>10</v>
      </c>
      <c r="L5" s="5">
        <v>335.4</v>
      </c>
      <c r="M5" s="5">
        <v>282.99</v>
      </c>
      <c r="N5" s="5">
        <v>387.81</v>
      </c>
      <c r="O5" s="5">
        <v>315.55</v>
      </c>
      <c r="P5" s="5">
        <v>19.850000000000001</v>
      </c>
      <c r="Q5" s="32">
        <v>6.3</v>
      </c>
      <c r="R5" s="5" t="s">
        <v>161</v>
      </c>
    </row>
    <row r="6" spans="2:18" x14ac:dyDescent="0.3">
      <c r="B6" s="2" t="s">
        <v>141</v>
      </c>
      <c r="C6" s="81" t="s">
        <v>142</v>
      </c>
      <c r="D6" s="65"/>
      <c r="E6" s="65"/>
      <c r="F6" s="54"/>
      <c r="K6" s="7">
        <v>25</v>
      </c>
      <c r="L6" s="7">
        <v>396.46</v>
      </c>
      <c r="M6" s="7">
        <v>324.83999999999997</v>
      </c>
      <c r="N6" s="7">
        <v>468.07</v>
      </c>
      <c r="O6" s="7">
        <v>362.95</v>
      </c>
      <c r="P6" s="7">
        <v>33.51</v>
      </c>
      <c r="Q6" s="21">
        <v>9.1999999999999993</v>
      </c>
      <c r="R6" s="7" t="s">
        <v>162</v>
      </c>
    </row>
    <row r="7" spans="2:18" x14ac:dyDescent="0.3">
      <c r="K7" s="5">
        <v>50</v>
      </c>
      <c r="L7" s="5">
        <v>441.76</v>
      </c>
      <c r="M7" s="5">
        <v>355.6</v>
      </c>
      <c r="N7" s="5">
        <v>527.91999999999996</v>
      </c>
      <c r="O7" s="5">
        <v>397.29</v>
      </c>
      <c r="P7" s="5">
        <v>44.47</v>
      </c>
      <c r="Q7" s="32">
        <v>11.2</v>
      </c>
      <c r="R7" s="5" t="s">
        <v>163</v>
      </c>
    </row>
    <row r="8" spans="2:18" ht="26.4" x14ac:dyDescent="0.3">
      <c r="B8" s="1" t="s">
        <v>69</v>
      </c>
      <c r="C8" s="1" t="s">
        <v>143</v>
      </c>
      <c r="D8" s="1" t="s">
        <v>144</v>
      </c>
      <c r="E8" s="1" t="s">
        <v>145</v>
      </c>
      <c r="F8" s="1" t="s">
        <v>146</v>
      </c>
      <c r="G8" s="1" t="s">
        <v>147</v>
      </c>
      <c r="H8" s="1" t="s">
        <v>148</v>
      </c>
      <c r="I8" s="1" t="s">
        <v>149</v>
      </c>
      <c r="K8" s="26">
        <v>100</v>
      </c>
      <c r="L8" s="26">
        <v>486.72</v>
      </c>
      <c r="M8" s="26">
        <v>386</v>
      </c>
      <c r="N8" s="26">
        <v>587.45000000000005</v>
      </c>
      <c r="O8" s="26">
        <v>430.95</v>
      </c>
      <c r="P8" s="26">
        <v>55.77</v>
      </c>
      <c r="Q8" s="33">
        <v>12.9</v>
      </c>
      <c r="R8" s="26" t="s">
        <v>164</v>
      </c>
    </row>
    <row r="9" spans="2:18" x14ac:dyDescent="0.3">
      <c r="B9" s="31">
        <v>1</v>
      </c>
      <c r="C9" s="31">
        <v>118.6</v>
      </c>
      <c r="D9" s="31">
        <v>3.1199999999999999E-2</v>
      </c>
      <c r="E9" s="31">
        <v>4.7199999999999999E-2</v>
      </c>
      <c r="F9" s="31">
        <v>1.6E-2</v>
      </c>
      <c r="G9" s="31">
        <v>2.2800000000000001E-2</v>
      </c>
      <c r="H9" s="31">
        <v>8.3999999999999995E-3</v>
      </c>
      <c r="I9" s="31">
        <v>1.6E-2</v>
      </c>
      <c r="K9" s="5">
        <v>200</v>
      </c>
      <c r="L9" s="5">
        <v>531.52</v>
      </c>
      <c r="M9" s="5">
        <v>416.2</v>
      </c>
      <c r="N9" s="5">
        <v>646.84</v>
      </c>
      <c r="O9" s="5">
        <v>464.25</v>
      </c>
      <c r="P9" s="5">
        <v>67.27</v>
      </c>
      <c r="Q9" s="32">
        <v>14.5</v>
      </c>
      <c r="R9" s="5" t="s">
        <v>165</v>
      </c>
    </row>
    <row r="10" spans="2:18" x14ac:dyDescent="0.3">
      <c r="B10" s="20">
        <v>2</v>
      </c>
      <c r="C10" s="20">
        <v>143</v>
      </c>
      <c r="D10" s="20">
        <v>6.25E-2</v>
      </c>
      <c r="E10" s="20">
        <v>0.1237</v>
      </c>
      <c r="F10" s="20">
        <v>6.1199999999999997E-2</v>
      </c>
      <c r="G10" s="20">
        <v>8.5099999999999995E-2</v>
      </c>
      <c r="H10" s="20">
        <v>2.2599999999999999E-2</v>
      </c>
      <c r="I10" s="20">
        <v>6.1199999999999997E-2</v>
      </c>
      <c r="K10" s="7">
        <v>1000</v>
      </c>
      <c r="L10" s="7">
        <v>635.29</v>
      </c>
      <c r="M10" s="7">
        <v>486</v>
      </c>
      <c r="N10" s="7">
        <v>784.59</v>
      </c>
      <c r="O10" s="7">
        <v>541.25</v>
      </c>
      <c r="P10" s="7">
        <v>94.04</v>
      </c>
      <c r="Q10" s="21">
        <v>17.399999999999999</v>
      </c>
      <c r="R10" s="7" t="s">
        <v>166</v>
      </c>
    </row>
    <row r="11" spans="2:18" x14ac:dyDescent="0.3">
      <c r="B11" s="31">
        <v>3</v>
      </c>
      <c r="C11" s="31">
        <v>150.19999999999999</v>
      </c>
      <c r="D11" s="31">
        <v>9.3799999999999994E-2</v>
      </c>
      <c r="E11" s="31">
        <v>0.15429999999999999</v>
      </c>
      <c r="F11" s="31">
        <v>6.0499999999999998E-2</v>
      </c>
      <c r="G11" s="31">
        <v>0.1138</v>
      </c>
      <c r="H11" s="31">
        <v>0.02</v>
      </c>
      <c r="I11" s="31">
        <v>6.1199999999999997E-2</v>
      </c>
    </row>
    <row r="12" spans="2:18" x14ac:dyDescent="0.3">
      <c r="B12" s="20">
        <v>4</v>
      </c>
      <c r="C12" s="20">
        <v>152</v>
      </c>
      <c r="D12" s="20">
        <v>0.125</v>
      </c>
      <c r="E12" s="20">
        <v>0.16239999999999999</v>
      </c>
      <c r="F12" s="20">
        <v>3.7400000000000003E-2</v>
      </c>
      <c r="G12" s="20">
        <v>0.1216</v>
      </c>
      <c r="H12" s="20">
        <v>3.3999999999999998E-3</v>
      </c>
      <c r="I12" s="20">
        <v>6.1199999999999997E-2</v>
      </c>
    </row>
    <row r="13" spans="2:18" ht="14.4" customHeight="1" x14ac:dyDescent="0.3">
      <c r="B13" s="31">
        <v>5</v>
      </c>
      <c r="C13" s="31">
        <v>155</v>
      </c>
      <c r="D13" s="31">
        <v>0.15620000000000001</v>
      </c>
      <c r="E13" s="31">
        <v>0.1764</v>
      </c>
      <c r="F13" s="31">
        <v>2.0199999999999999E-2</v>
      </c>
      <c r="G13" s="31">
        <v>0.13539999999999999</v>
      </c>
      <c r="H13" s="31">
        <v>2.0899999999999998E-2</v>
      </c>
      <c r="I13" s="31">
        <v>6.1199999999999997E-2</v>
      </c>
      <c r="K13" s="82" t="s">
        <v>167</v>
      </c>
      <c r="L13" s="83"/>
      <c r="M13" s="84"/>
    </row>
    <row r="14" spans="2:18" x14ac:dyDescent="0.3">
      <c r="B14" s="20">
        <v>6</v>
      </c>
      <c r="C14" s="20">
        <v>162.80000000000001</v>
      </c>
      <c r="D14" s="20">
        <v>0.1875</v>
      </c>
      <c r="E14" s="20">
        <v>0.215</v>
      </c>
      <c r="F14" s="20">
        <v>2.75E-2</v>
      </c>
      <c r="G14" s="20">
        <v>0.1744</v>
      </c>
      <c r="H14" s="20">
        <v>1.3100000000000001E-2</v>
      </c>
      <c r="I14" s="20">
        <v>6.1199999999999997E-2</v>
      </c>
      <c r="K14" s="8" t="s">
        <v>168</v>
      </c>
      <c r="L14" s="79" t="s">
        <v>169</v>
      </c>
      <c r="M14" s="79"/>
    </row>
    <row r="15" spans="2:18" x14ac:dyDescent="0.3">
      <c r="B15" s="31">
        <v>7</v>
      </c>
      <c r="C15" s="31">
        <v>163</v>
      </c>
      <c r="D15" s="31">
        <v>0.21879999999999999</v>
      </c>
      <c r="E15" s="31">
        <v>0.21609999999999999</v>
      </c>
      <c r="F15" s="31">
        <v>2.7000000000000001E-3</v>
      </c>
      <c r="G15" s="31">
        <v>0.17549999999999999</v>
      </c>
      <c r="H15" s="31">
        <v>4.3200000000000002E-2</v>
      </c>
      <c r="I15" s="31">
        <v>6.1199999999999997E-2</v>
      </c>
      <c r="K15" s="3" t="s">
        <v>170</v>
      </c>
      <c r="L15" s="78" t="s">
        <v>171</v>
      </c>
      <c r="M15" s="78"/>
    </row>
    <row r="16" spans="2:18" x14ac:dyDescent="0.3">
      <c r="B16" s="20">
        <v>8</v>
      </c>
      <c r="C16" s="20">
        <v>172.2</v>
      </c>
      <c r="D16" s="20">
        <v>0.25</v>
      </c>
      <c r="E16" s="20">
        <v>0.26500000000000001</v>
      </c>
      <c r="F16" s="20">
        <v>1.4999999999999999E-2</v>
      </c>
      <c r="G16" s="20">
        <v>0.2271</v>
      </c>
      <c r="H16" s="20">
        <v>2.29E-2</v>
      </c>
      <c r="I16" s="20">
        <v>6.1199999999999997E-2</v>
      </c>
      <c r="K16" s="8" t="s">
        <v>172</v>
      </c>
      <c r="L16" s="79" t="s">
        <v>173</v>
      </c>
      <c r="M16" s="79"/>
    </row>
    <row r="17" spans="2:13" x14ac:dyDescent="0.3">
      <c r="B17" s="31">
        <v>9</v>
      </c>
      <c r="C17" s="31">
        <v>172.6</v>
      </c>
      <c r="D17" s="31">
        <v>0.28120000000000001</v>
      </c>
      <c r="E17" s="31">
        <v>0.2671</v>
      </c>
      <c r="F17" s="31">
        <v>1.41E-2</v>
      </c>
      <c r="G17" s="31">
        <v>0.22939999999999999</v>
      </c>
      <c r="H17" s="31">
        <v>5.1799999999999999E-2</v>
      </c>
      <c r="I17" s="31">
        <v>6.1199999999999997E-2</v>
      </c>
      <c r="K17" s="3" t="s">
        <v>174</v>
      </c>
      <c r="L17" s="78" t="s">
        <v>175</v>
      </c>
      <c r="M17" s="78"/>
    </row>
    <row r="18" spans="2:13" x14ac:dyDescent="0.3">
      <c r="B18" s="20">
        <v>10</v>
      </c>
      <c r="C18" s="20">
        <v>176.2</v>
      </c>
      <c r="D18" s="20">
        <v>0.3125</v>
      </c>
      <c r="E18" s="20">
        <v>0.28699999999999998</v>
      </c>
      <c r="F18" s="20">
        <v>2.5499999999999998E-2</v>
      </c>
      <c r="G18" s="20">
        <v>0.25090000000000001</v>
      </c>
      <c r="H18" s="20">
        <v>6.1600000000000002E-2</v>
      </c>
      <c r="I18" s="20">
        <v>6.1199999999999997E-2</v>
      </c>
      <c r="K18" s="8" t="s">
        <v>176</v>
      </c>
      <c r="L18" s="79" t="s">
        <v>177</v>
      </c>
      <c r="M18" s="79"/>
    </row>
    <row r="19" spans="2:13" x14ac:dyDescent="0.3">
      <c r="B19" s="31">
        <v>11</v>
      </c>
      <c r="C19" s="31">
        <v>180</v>
      </c>
      <c r="D19" s="31">
        <v>0.34379999999999999</v>
      </c>
      <c r="E19" s="31">
        <v>0.30830000000000002</v>
      </c>
      <c r="F19" s="31">
        <v>3.5499999999999997E-2</v>
      </c>
      <c r="G19" s="31">
        <v>0.2742</v>
      </c>
      <c r="H19" s="31">
        <v>6.9500000000000006E-2</v>
      </c>
      <c r="I19" s="31">
        <v>6.1199999999999997E-2</v>
      </c>
      <c r="K19" s="3" t="s">
        <v>178</v>
      </c>
      <c r="L19" s="78" t="s">
        <v>179</v>
      </c>
      <c r="M19" s="78"/>
    </row>
    <row r="20" spans="2:13" x14ac:dyDescent="0.3">
      <c r="B20" s="20">
        <v>12</v>
      </c>
      <c r="C20" s="20">
        <v>189</v>
      </c>
      <c r="D20" s="20">
        <v>0.375</v>
      </c>
      <c r="E20" s="20">
        <v>0.3594</v>
      </c>
      <c r="F20" s="20">
        <v>1.5599999999999999E-2</v>
      </c>
      <c r="G20" s="20">
        <v>0.33119999999999999</v>
      </c>
      <c r="H20" s="20">
        <v>4.3799999999999999E-2</v>
      </c>
      <c r="I20" s="20">
        <v>6.1199999999999997E-2</v>
      </c>
      <c r="K20" s="34" t="s">
        <v>180</v>
      </c>
      <c r="L20" s="80" t="s">
        <v>181</v>
      </c>
      <c r="M20" s="80"/>
    </row>
    <row r="21" spans="2:13" x14ac:dyDescent="0.3">
      <c r="B21" s="31">
        <v>13</v>
      </c>
      <c r="C21" s="31">
        <v>193.2</v>
      </c>
      <c r="D21" s="31">
        <v>0.40620000000000001</v>
      </c>
      <c r="E21" s="31">
        <v>0.38340000000000002</v>
      </c>
      <c r="F21" s="31">
        <v>2.2800000000000001E-2</v>
      </c>
      <c r="G21" s="31">
        <v>0.3584</v>
      </c>
      <c r="H21" s="31">
        <v>4.7899999999999998E-2</v>
      </c>
      <c r="I21" s="31">
        <v>6.1199999999999997E-2</v>
      </c>
    </row>
    <row r="22" spans="2:13" x14ac:dyDescent="0.3">
      <c r="B22" s="20">
        <v>14</v>
      </c>
      <c r="C22" s="20">
        <v>207.4</v>
      </c>
      <c r="D22" s="20">
        <v>0.4375</v>
      </c>
      <c r="E22" s="20">
        <v>0.46350000000000002</v>
      </c>
      <c r="F22" s="20">
        <v>2.5999999999999999E-2</v>
      </c>
      <c r="G22" s="20">
        <v>0.45019999999999999</v>
      </c>
      <c r="H22" s="20">
        <v>1.2699999999999999E-2</v>
      </c>
      <c r="I22" s="20">
        <v>6.1199999999999997E-2</v>
      </c>
    </row>
    <row r="23" spans="2:13" x14ac:dyDescent="0.3">
      <c r="B23" s="31">
        <v>15</v>
      </c>
      <c r="C23" s="31">
        <v>207.6</v>
      </c>
      <c r="D23" s="31">
        <v>0.46879999999999999</v>
      </c>
      <c r="E23" s="31">
        <v>0.46460000000000001</v>
      </c>
      <c r="F23" s="31">
        <v>4.1000000000000003E-3</v>
      </c>
      <c r="G23" s="31">
        <v>0.45150000000000001</v>
      </c>
      <c r="H23" s="31">
        <v>1.7299999999999999E-2</v>
      </c>
      <c r="I23" s="31">
        <v>6.1199999999999997E-2</v>
      </c>
    </row>
    <row r="24" spans="2:13" x14ac:dyDescent="0.3">
      <c r="B24" s="20">
        <v>16</v>
      </c>
      <c r="C24" s="20">
        <v>209.2</v>
      </c>
      <c r="D24" s="20">
        <v>0.5</v>
      </c>
      <c r="E24" s="20">
        <v>0.47339999999999999</v>
      </c>
      <c r="F24" s="20">
        <v>2.6599999999999999E-2</v>
      </c>
      <c r="G24" s="20">
        <v>0.4617</v>
      </c>
      <c r="H24" s="20">
        <v>3.8300000000000001E-2</v>
      </c>
      <c r="I24" s="20">
        <v>6.1199999999999997E-2</v>
      </c>
    </row>
    <row r="25" spans="2:13" x14ac:dyDescent="0.3">
      <c r="B25" s="31">
        <v>17</v>
      </c>
      <c r="C25" s="31">
        <v>216.4</v>
      </c>
      <c r="D25" s="31">
        <v>0.53120000000000001</v>
      </c>
      <c r="E25" s="31">
        <v>0.51239999999999997</v>
      </c>
      <c r="F25" s="31">
        <v>1.8800000000000001E-2</v>
      </c>
      <c r="G25" s="31">
        <v>0.50690000000000002</v>
      </c>
      <c r="H25" s="31">
        <v>2.4400000000000002E-2</v>
      </c>
      <c r="I25" s="31">
        <v>6.1199999999999997E-2</v>
      </c>
    </row>
    <row r="26" spans="2:13" x14ac:dyDescent="0.3">
      <c r="B26" s="20">
        <v>18</v>
      </c>
      <c r="C26" s="20">
        <v>231.6</v>
      </c>
      <c r="D26" s="20">
        <v>0.5625</v>
      </c>
      <c r="E26" s="20">
        <v>0.58979999999999999</v>
      </c>
      <c r="F26" s="20">
        <v>2.7300000000000001E-2</v>
      </c>
      <c r="G26" s="20">
        <v>0.59670000000000001</v>
      </c>
      <c r="H26" s="20">
        <v>3.4200000000000001E-2</v>
      </c>
      <c r="I26" s="20">
        <v>6.1199999999999997E-2</v>
      </c>
    </row>
    <row r="27" spans="2:13" x14ac:dyDescent="0.3">
      <c r="B27" s="31">
        <v>19</v>
      </c>
      <c r="C27" s="31">
        <v>241.6</v>
      </c>
      <c r="D27" s="31">
        <v>0.59379999999999999</v>
      </c>
      <c r="E27" s="31">
        <v>0.63629999999999998</v>
      </c>
      <c r="F27" s="31">
        <v>4.2500000000000003E-2</v>
      </c>
      <c r="G27" s="31">
        <v>0.65039999999999998</v>
      </c>
      <c r="H27" s="31">
        <v>5.67E-2</v>
      </c>
      <c r="I27" s="31">
        <v>6.1199999999999997E-2</v>
      </c>
    </row>
    <row r="28" spans="2:13" x14ac:dyDescent="0.3">
      <c r="B28" s="20">
        <v>20</v>
      </c>
      <c r="C28" s="20">
        <v>245</v>
      </c>
      <c r="D28" s="20">
        <v>0.625</v>
      </c>
      <c r="E28" s="20">
        <v>0.65129999999999999</v>
      </c>
      <c r="F28" s="20">
        <v>2.63E-2</v>
      </c>
      <c r="G28" s="20">
        <v>0.66759999999999997</v>
      </c>
      <c r="H28" s="20">
        <v>4.2599999999999999E-2</v>
      </c>
      <c r="I28" s="20">
        <v>6.1199999999999997E-2</v>
      </c>
    </row>
    <row r="29" spans="2:13" x14ac:dyDescent="0.3">
      <c r="B29" s="31">
        <v>21</v>
      </c>
      <c r="C29" s="31">
        <v>249</v>
      </c>
      <c r="D29" s="31">
        <v>0.65620000000000001</v>
      </c>
      <c r="E29" s="31">
        <v>0.66830000000000001</v>
      </c>
      <c r="F29" s="31">
        <v>1.2E-2</v>
      </c>
      <c r="G29" s="31">
        <v>0.68710000000000004</v>
      </c>
      <c r="H29" s="31">
        <v>3.0800000000000001E-2</v>
      </c>
      <c r="I29" s="31">
        <v>6.1199999999999997E-2</v>
      </c>
    </row>
    <row r="30" spans="2:13" x14ac:dyDescent="0.3">
      <c r="B30" s="20">
        <v>22</v>
      </c>
      <c r="C30" s="20">
        <v>254</v>
      </c>
      <c r="D30" s="20">
        <v>0.6875</v>
      </c>
      <c r="E30" s="20">
        <v>0.68869999999999998</v>
      </c>
      <c r="F30" s="20">
        <v>1.1999999999999999E-3</v>
      </c>
      <c r="G30" s="20">
        <v>0.71030000000000004</v>
      </c>
      <c r="H30" s="20">
        <v>2.2800000000000001E-2</v>
      </c>
      <c r="I30" s="20">
        <v>6.1199999999999997E-2</v>
      </c>
    </row>
    <row r="31" spans="2:13" x14ac:dyDescent="0.3">
      <c r="B31" s="31">
        <v>23</v>
      </c>
      <c r="C31" s="31">
        <v>256</v>
      </c>
      <c r="D31" s="31">
        <v>0.71879999999999999</v>
      </c>
      <c r="E31" s="31">
        <v>0.6966</v>
      </c>
      <c r="F31" s="31">
        <v>2.2100000000000002E-2</v>
      </c>
      <c r="G31" s="31">
        <v>0.71919999999999995</v>
      </c>
      <c r="H31" s="31">
        <v>5.0000000000000001E-4</v>
      </c>
      <c r="I31" s="31">
        <v>6.1199999999999997E-2</v>
      </c>
    </row>
    <row r="32" spans="2:13" x14ac:dyDescent="0.3">
      <c r="B32" s="20">
        <v>24</v>
      </c>
      <c r="C32" s="20">
        <v>271.8</v>
      </c>
      <c r="D32" s="20">
        <v>0.75</v>
      </c>
      <c r="E32" s="20">
        <v>0.75360000000000005</v>
      </c>
      <c r="F32" s="20">
        <v>3.5999999999999999E-3</v>
      </c>
      <c r="G32" s="20">
        <v>0.78269999999999995</v>
      </c>
      <c r="H32" s="20">
        <v>3.27E-2</v>
      </c>
      <c r="I32" s="20">
        <v>6.1199999999999997E-2</v>
      </c>
    </row>
    <row r="33" spans="2:9" x14ac:dyDescent="0.3">
      <c r="B33" s="31">
        <v>25</v>
      </c>
      <c r="C33" s="31">
        <v>276</v>
      </c>
      <c r="D33" s="31">
        <v>0.78120000000000001</v>
      </c>
      <c r="E33" s="31">
        <v>0.76719999999999999</v>
      </c>
      <c r="F33" s="31">
        <v>1.4E-2</v>
      </c>
      <c r="G33" s="31">
        <v>0.79749999999999999</v>
      </c>
      <c r="H33" s="31">
        <v>1.6199999999999999E-2</v>
      </c>
      <c r="I33" s="31">
        <v>6.1199999999999997E-2</v>
      </c>
    </row>
    <row r="34" spans="2:9" x14ac:dyDescent="0.3">
      <c r="B34" s="20">
        <v>26</v>
      </c>
      <c r="C34" s="20">
        <v>284.2</v>
      </c>
      <c r="D34" s="20">
        <v>0.8125</v>
      </c>
      <c r="E34" s="20">
        <v>0.79190000000000005</v>
      </c>
      <c r="F34" s="20">
        <v>2.06E-2</v>
      </c>
      <c r="G34" s="20">
        <v>0.82399999999999995</v>
      </c>
      <c r="H34" s="20">
        <v>1.15E-2</v>
      </c>
      <c r="I34" s="20">
        <v>6.1199999999999997E-2</v>
      </c>
    </row>
    <row r="35" spans="2:9" x14ac:dyDescent="0.3">
      <c r="B35" s="31">
        <v>27</v>
      </c>
      <c r="C35" s="31">
        <v>290</v>
      </c>
      <c r="D35" s="31">
        <v>0.84379999999999999</v>
      </c>
      <c r="E35" s="31">
        <v>0.80800000000000005</v>
      </c>
      <c r="F35" s="31">
        <v>3.5799999999999998E-2</v>
      </c>
      <c r="G35" s="31">
        <v>0.84099999999999997</v>
      </c>
      <c r="H35" s="31">
        <v>2.8E-3</v>
      </c>
      <c r="I35" s="31">
        <v>6.1199999999999997E-2</v>
      </c>
    </row>
    <row r="36" spans="2:9" x14ac:dyDescent="0.3">
      <c r="B36" s="20">
        <v>28</v>
      </c>
      <c r="C36" s="20">
        <v>306.8</v>
      </c>
      <c r="D36" s="20">
        <v>0.875</v>
      </c>
      <c r="E36" s="20">
        <v>0.84850000000000003</v>
      </c>
      <c r="F36" s="20">
        <v>2.6499999999999999E-2</v>
      </c>
      <c r="G36" s="20">
        <v>0.88249999999999995</v>
      </c>
      <c r="H36" s="20">
        <v>7.4999999999999997E-3</v>
      </c>
      <c r="I36" s="20">
        <v>6.1199999999999997E-2</v>
      </c>
    </row>
    <row r="37" spans="2:9" x14ac:dyDescent="0.3">
      <c r="B37" s="31">
        <v>29</v>
      </c>
      <c r="C37" s="31">
        <v>314</v>
      </c>
      <c r="D37" s="31">
        <v>0.90620000000000001</v>
      </c>
      <c r="E37" s="31">
        <v>0.86339999999999995</v>
      </c>
      <c r="F37" s="31">
        <v>4.2900000000000001E-2</v>
      </c>
      <c r="G37" s="31">
        <v>0.89710000000000001</v>
      </c>
      <c r="H37" s="31">
        <v>9.1999999999999998E-3</v>
      </c>
      <c r="I37" s="31">
        <v>6.1199999999999997E-2</v>
      </c>
    </row>
    <row r="38" spans="2:9" x14ac:dyDescent="0.3">
      <c r="B38" s="20">
        <v>30</v>
      </c>
      <c r="C38" s="20">
        <v>315</v>
      </c>
      <c r="D38" s="20">
        <v>0.9375</v>
      </c>
      <c r="E38" s="20">
        <v>0.86529999999999996</v>
      </c>
      <c r="F38" s="20">
        <v>7.22E-2</v>
      </c>
      <c r="G38" s="20">
        <v>0.89900000000000002</v>
      </c>
      <c r="H38" s="20">
        <v>3.85E-2</v>
      </c>
      <c r="I38" s="20">
        <v>7.22E-2</v>
      </c>
    </row>
    <row r="39" spans="2:9" x14ac:dyDescent="0.3">
      <c r="B39" s="31">
        <v>31</v>
      </c>
      <c r="C39" s="31">
        <v>473.5</v>
      </c>
      <c r="D39" s="31">
        <v>0.96879999999999999</v>
      </c>
      <c r="E39" s="31">
        <v>0.98770000000000002</v>
      </c>
      <c r="F39" s="31">
        <v>1.9E-2</v>
      </c>
      <c r="G39" s="31">
        <v>0.99590000000000001</v>
      </c>
      <c r="H39" s="31">
        <v>2.7099999999999999E-2</v>
      </c>
      <c r="I39" s="31">
        <v>7.22E-2</v>
      </c>
    </row>
    <row r="41" spans="2:9" x14ac:dyDescent="0.3">
      <c r="B41" s="76" t="s">
        <v>150</v>
      </c>
      <c r="C41" s="46"/>
      <c r="D41" s="46"/>
      <c r="E41" s="46"/>
      <c r="F41" s="46"/>
      <c r="G41" s="46"/>
      <c r="H41" s="46"/>
      <c r="I41" s="46"/>
    </row>
    <row r="44" spans="2:9" ht="28.05" customHeight="1" x14ac:dyDescent="0.3"/>
    <row r="56" ht="28.05" customHeight="1" x14ac:dyDescent="0.3"/>
  </sheetData>
  <mergeCells count="15">
    <mergeCell ref="B1:I1"/>
    <mergeCell ref="L14:M14"/>
    <mergeCell ref="L15:M15"/>
    <mergeCell ref="L16:M16"/>
    <mergeCell ref="K13:M13"/>
    <mergeCell ref="K1:R1"/>
    <mergeCell ref="C4:F4"/>
    <mergeCell ref="B3:F3"/>
    <mergeCell ref="B41:I41"/>
    <mergeCell ref="C5:F5"/>
    <mergeCell ref="L17:M17"/>
    <mergeCell ref="L18:M18"/>
    <mergeCell ref="L19:M19"/>
    <mergeCell ref="L20:M20"/>
    <mergeCell ref="C6:F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3"/>
  <sheetViews>
    <sheetView zoomScale="79" zoomScaleNormal="79" workbookViewId="0">
      <selection activeCell="D8" sqref="D8:F8"/>
    </sheetView>
  </sheetViews>
  <sheetFormatPr defaultRowHeight="14.4" x14ac:dyDescent="0.3"/>
  <cols>
    <col min="1" max="1" width="3" customWidth="1"/>
    <col min="2" max="2" width="20" customWidth="1"/>
    <col min="3" max="5" width="16" customWidth="1"/>
    <col min="6" max="6" width="20" customWidth="1"/>
    <col min="7" max="7" width="33.6640625" customWidth="1"/>
  </cols>
  <sheetData>
    <row r="1" spans="2:7" ht="30" customHeight="1" x14ac:dyDescent="0.3">
      <c r="B1" s="47" t="s">
        <v>182</v>
      </c>
      <c r="C1" s="46"/>
      <c r="D1" s="46"/>
      <c r="E1" s="46"/>
      <c r="F1" s="46"/>
    </row>
    <row r="3" spans="2:7" ht="28.05" customHeight="1" x14ac:dyDescent="0.3">
      <c r="B3" s="48" t="s">
        <v>183</v>
      </c>
      <c r="C3" s="48"/>
      <c r="D3" s="48"/>
      <c r="E3" s="48"/>
      <c r="F3" s="48"/>
    </row>
    <row r="4" spans="2:7" ht="26.4" x14ac:dyDescent="0.3">
      <c r="B4" s="1" t="s">
        <v>16</v>
      </c>
      <c r="C4" s="1" t="s">
        <v>184</v>
      </c>
      <c r="D4" s="49" t="s">
        <v>185</v>
      </c>
      <c r="E4" s="49"/>
      <c r="F4" s="49"/>
    </row>
    <row r="5" spans="2:7" x14ac:dyDescent="0.3">
      <c r="B5" s="5" t="s">
        <v>186</v>
      </c>
      <c r="C5" s="5">
        <v>31</v>
      </c>
      <c r="D5" s="50">
        <v>30</v>
      </c>
      <c r="E5" s="50"/>
      <c r="F5" s="50"/>
    </row>
    <row r="6" spans="2:7" x14ac:dyDescent="0.3">
      <c r="B6" s="7" t="s">
        <v>80</v>
      </c>
      <c r="C6" s="7">
        <v>225.06</v>
      </c>
      <c r="D6" s="51">
        <v>216.78</v>
      </c>
      <c r="E6" s="51"/>
      <c r="F6" s="51"/>
    </row>
    <row r="7" spans="2:7" x14ac:dyDescent="0.3">
      <c r="B7" s="5" t="s">
        <v>81</v>
      </c>
      <c r="C7" s="5">
        <v>71.84</v>
      </c>
      <c r="D7" s="50">
        <v>56.04</v>
      </c>
      <c r="E7" s="50"/>
      <c r="F7" s="50"/>
    </row>
    <row r="8" spans="2:7" x14ac:dyDescent="0.3">
      <c r="B8" s="7" t="s">
        <v>187</v>
      </c>
      <c r="C8" s="7">
        <v>473.5</v>
      </c>
      <c r="D8" s="51">
        <v>315</v>
      </c>
      <c r="E8" s="51"/>
      <c r="F8" s="51"/>
    </row>
    <row r="11" spans="2:7" ht="28.05" customHeight="1" x14ac:dyDescent="0.3">
      <c r="B11" s="45" t="s">
        <v>188</v>
      </c>
      <c r="C11" s="46"/>
      <c r="D11" s="46"/>
      <c r="E11" s="46"/>
      <c r="F11" s="46"/>
    </row>
    <row r="12" spans="2:7" ht="39.6" x14ac:dyDescent="0.3">
      <c r="B12" s="1" t="s">
        <v>189</v>
      </c>
      <c r="C12" s="1" t="s">
        <v>190</v>
      </c>
      <c r="D12" s="1" t="s">
        <v>191</v>
      </c>
      <c r="E12" s="1" t="s">
        <v>192</v>
      </c>
      <c r="F12" s="1" t="s">
        <v>193</v>
      </c>
      <c r="G12" s="1" t="s">
        <v>194</v>
      </c>
    </row>
    <row r="13" spans="2:7" x14ac:dyDescent="0.3">
      <c r="B13" s="5">
        <v>2</v>
      </c>
      <c r="C13" s="5">
        <v>214.08</v>
      </c>
      <c r="D13" s="5">
        <v>208.22</v>
      </c>
      <c r="E13" s="5">
        <v>5.87</v>
      </c>
      <c r="F13" s="5">
        <v>2.8</v>
      </c>
      <c r="G13" s="5" t="s">
        <v>195</v>
      </c>
    </row>
    <row r="14" spans="2:7" x14ac:dyDescent="0.3">
      <c r="B14" s="7">
        <v>5</v>
      </c>
      <c r="C14" s="7">
        <v>287.07</v>
      </c>
      <c r="D14" s="7">
        <v>265.14999999999998</v>
      </c>
      <c r="E14" s="7">
        <v>21.92</v>
      </c>
      <c r="F14" s="7">
        <v>8.3000000000000007</v>
      </c>
      <c r="G14" s="7" t="s">
        <v>196</v>
      </c>
    </row>
    <row r="15" spans="2:7" x14ac:dyDescent="0.3">
      <c r="B15" s="16">
        <v>10</v>
      </c>
      <c r="C15" s="16">
        <v>335.4</v>
      </c>
      <c r="D15" s="16">
        <v>302.83999999999997</v>
      </c>
      <c r="E15" s="16">
        <v>32.56</v>
      </c>
      <c r="F15" s="16">
        <v>10.8</v>
      </c>
      <c r="G15" s="16" t="s">
        <v>197</v>
      </c>
    </row>
    <row r="16" spans="2:7" x14ac:dyDescent="0.3">
      <c r="B16" s="16">
        <v>25</v>
      </c>
      <c r="C16" s="16">
        <v>396.46</v>
      </c>
      <c r="D16" s="16">
        <v>350.47</v>
      </c>
      <c r="E16" s="16">
        <v>45.99</v>
      </c>
      <c r="F16" s="16">
        <v>13.1</v>
      </c>
      <c r="G16" s="16" t="s">
        <v>198</v>
      </c>
    </row>
    <row r="17" spans="2:7" x14ac:dyDescent="0.3">
      <c r="B17" s="16">
        <v>50</v>
      </c>
      <c r="C17" s="16">
        <v>441.76</v>
      </c>
      <c r="D17" s="16">
        <v>385.8</v>
      </c>
      <c r="E17" s="16">
        <v>55.95</v>
      </c>
      <c r="F17" s="16">
        <v>14.5</v>
      </c>
      <c r="G17" s="16" t="s">
        <v>198</v>
      </c>
    </row>
    <row r="18" spans="2:7" x14ac:dyDescent="0.3">
      <c r="B18" s="26">
        <v>100</v>
      </c>
      <c r="C18" s="26">
        <v>486.72</v>
      </c>
      <c r="D18" s="26">
        <v>420.87</v>
      </c>
      <c r="E18" s="26">
        <v>65.849999999999994</v>
      </c>
      <c r="F18" s="26">
        <v>15.6</v>
      </c>
      <c r="G18" s="26" t="s">
        <v>244</v>
      </c>
    </row>
    <row r="19" spans="2:7" x14ac:dyDescent="0.3">
      <c r="B19" s="16">
        <v>200</v>
      </c>
      <c r="C19" s="16">
        <v>531.52</v>
      </c>
      <c r="D19" s="16">
        <v>455.82</v>
      </c>
      <c r="E19" s="16">
        <v>75.7</v>
      </c>
      <c r="F19" s="16">
        <v>16.600000000000001</v>
      </c>
      <c r="G19" s="16" t="s">
        <v>244</v>
      </c>
    </row>
    <row r="20" spans="2:7" x14ac:dyDescent="0.3">
      <c r="B20" s="16">
        <v>1000</v>
      </c>
      <c r="C20" s="16">
        <v>635.29</v>
      </c>
      <c r="D20" s="16">
        <v>536.76</v>
      </c>
      <c r="E20" s="16">
        <v>98.53</v>
      </c>
      <c r="F20" s="16">
        <v>18.399999999999999</v>
      </c>
      <c r="G20" s="16" t="s">
        <v>245</v>
      </c>
    </row>
    <row r="23" spans="2:7" ht="45.6" customHeight="1" x14ac:dyDescent="0.3">
      <c r="B23" s="43" t="s">
        <v>247</v>
      </c>
      <c r="C23" s="44"/>
      <c r="D23" s="44"/>
      <c r="E23" s="44"/>
      <c r="F23" s="44"/>
    </row>
  </sheetData>
  <mergeCells count="9">
    <mergeCell ref="B23:F23"/>
    <mergeCell ref="B11:F11"/>
    <mergeCell ref="B1:F1"/>
    <mergeCell ref="B3:F3"/>
    <mergeCell ref="D4:F4"/>
    <mergeCell ref="D5:F5"/>
    <mergeCell ref="D6:F6"/>
    <mergeCell ref="D7:F7"/>
    <mergeCell ref="D8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28"/>
  <sheetViews>
    <sheetView topLeftCell="A11" workbookViewId="0">
      <selection activeCell="L23" sqref="L23"/>
    </sheetView>
  </sheetViews>
  <sheetFormatPr defaultRowHeight="14.4" x14ac:dyDescent="0.3"/>
  <cols>
    <col min="1" max="1" width="3" customWidth="1"/>
    <col min="2" max="2" width="14" customWidth="1"/>
    <col min="3" max="10" width="11" customWidth="1"/>
  </cols>
  <sheetData>
    <row r="1" spans="2:10" ht="30" customHeight="1" x14ac:dyDescent="0.3">
      <c r="B1" s="47" t="s">
        <v>199</v>
      </c>
      <c r="C1" s="46"/>
      <c r="D1" s="46"/>
      <c r="E1" s="46"/>
      <c r="F1" s="46"/>
      <c r="G1" s="46"/>
      <c r="H1" s="46"/>
      <c r="I1" s="46"/>
      <c r="J1" s="46"/>
    </row>
    <row r="2" spans="2:10" x14ac:dyDescent="0.3">
      <c r="B2" s="87" t="s">
        <v>200</v>
      </c>
      <c r="C2" s="46"/>
      <c r="D2" s="46"/>
      <c r="E2" s="46"/>
      <c r="F2" s="46"/>
      <c r="G2" s="46"/>
      <c r="H2" s="46"/>
      <c r="I2" s="46"/>
      <c r="J2" s="46"/>
    </row>
    <row r="3" spans="2:10" x14ac:dyDescent="0.3">
      <c r="B3" s="85" t="s">
        <v>201</v>
      </c>
      <c r="C3" s="46"/>
      <c r="D3" s="46"/>
      <c r="E3" s="46"/>
      <c r="F3" s="46"/>
      <c r="G3" s="46"/>
      <c r="H3" s="46"/>
      <c r="I3" s="46"/>
      <c r="J3" s="46"/>
    </row>
    <row r="5" spans="2:10" ht="28.05" customHeight="1" x14ac:dyDescent="0.3">
      <c r="B5" s="45" t="s">
        <v>202</v>
      </c>
      <c r="C5" s="46"/>
      <c r="D5" s="46"/>
      <c r="E5" s="46"/>
      <c r="F5" s="46"/>
      <c r="G5" s="46"/>
      <c r="H5" s="46"/>
      <c r="I5" s="46"/>
      <c r="J5" s="46"/>
    </row>
    <row r="6" spans="2:10" x14ac:dyDescent="0.3">
      <c r="B6" s="1" t="s">
        <v>203</v>
      </c>
      <c r="C6" s="1" t="s">
        <v>204</v>
      </c>
      <c r="D6" s="1" t="s">
        <v>205</v>
      </c>
      <c r="E6" s="1" t="s">
        <v>206</v>
      </c>
      <c r="F6" s="1" t="s">
        <v>207</v>
      </c>
      <c r="G6" s="1" t="s">
        <v>208</v>
      </c>
      <c r="H6" s="35" t="s">
        <v>209</v>
      </c>
      <c r="I6" s="1" t="s">
        <v>210</v>
      </c>
      <c r="J6" s="1" t="s">
        <v>211</v>
      </c>
    </row>
    <row r="7" spans="2:10" x14ac:dyDescent="0.3">
      <c r="B7" s="29" t="s">
        <v>212</v>
      </c>
      <c r="C7" s="5">
        <v>46.75</v>
      </c>
      <c r="D7" s="5">
        <v>62.7</v>
      </c>
      <c r="E7" s="5">
        <v>73.25</v>
      </c>
      <c r="F7" s="5">
        <v>86.58</v>
      </c>
      <c r="G7" s="5">
        <v>96.48</v>
      </c>
      <c r="H7" s="26">
        <v>106.3</v>
      </c>
      <c r="I7" s="5">
        <v>116.08</v>
      </c>
      <c r="J7" s="5">
        <v>138.75</v>
      </c>
    </row>
    <row r="8" spans="2:10" x14ac:dyDescent="0.3">
      <c r="B8" s="30" t="s">
        <v>213</v>
      </c>
      <c r="C8" s="7">
        <v>58.91</v>
      </c>
      <c r="D8" s="7">
        <v>78.989999999999995</v>
      </c>
      <c r="E8" s="7">
        <v>92.29</v>
      </c>
      <c r="F8" s="7">
        <v>109.09</v>
      </c>
      <c r="G8" s="7">
        <v>121.55</v>
      </c>
      <c r="H8" s="26">
        <v>133.93</v>
      </c>
      <c r="I8" s="7">
        <v>146.25</v>
      </c>
      <c r="J8" s="7">
        <v>174.81</v>
      </c>
    </row>
    <row r="9" spans="2:10" x14ac:dyDescent="0.3">
      <c r="B9" s="29" t="s">
        <v>214</v>
      </c>
      <c r="C9" s="5">
        <v>74.22</v>
      </c>
      <c r="D9" s="5">
        <v>99.52</v>
      </c>
      <c r="E9" s="5">
        <v>116.28</v>
      </c>
      <c r="F9" s="5">
        <v>137.44</v>
      </c>
      <c r="G9" s="5">
        <v>153.15</v>
      </c>
      <c r="H9" s="26">
        <v>168.74</v>
      </c>
      <c r="I9" s="5">
        <v>184.27</v>
      </c>
      <c r="J9" s="5">
        <v>220.24</v>
      </c>
    </row>
    <row r="10" spans="2:10" x14ac:dyDescent="0.3">
      <c r="B10" s="30" t="s">
        <v>215</v>
      </c>
      <c r="C10" s="7">
        <v>93.51</v>
      </c>
      <c r="D10" s="7">
        <v>125.39</v>
      </c>
      <c r="E10" s="7">
        <v>146.5</v>
      </c>
      <c r="F10" s="7">
        <v>173.17</v>
      </c>
      <c r="G10" s="7">
        <v>192.96</v>
      </c>
      <c r="H10" s="26">
        <v>212.59</v>
      </c>
      <c r="I10" s="7">
        <v>232.16</v>
      </c>
      <c r="J10" s="7">
        <v>277.49</v>
      </c>
    </row>
    <row r="11" spans="2:10" x14ac:dyDescent="0.3">
      <c r="B11" s="29" t="s">
        <v>216</v>
      </c>
      <c r="C11" s="5">
        <v>107.04</v>
      </c>
      <c r="D11" s="5">
        <v>143.54</v>
      </c>
      <c r="E11" s="5">
        <v>167.7</v>
      </c>
      <c r="F11" s="5">
        <v>198.23</v>
      </c>
      <c r="G11" s="5">
        <v>220.88</v>
      </c>
      <c r="H11" s="26">
        <v>243.36</v>
      </c>
      <c r="I11" s="5">
        <v>265.76</v>
      </c>
      <c r="J11" s="5">
        <v>317.64999999999998</v>
      </c>
    </row>
    <row r="12" spans="2:10" x14ac:dyDescent="0.3">
      <c r="B12" s="30" t="s">
        <v>217</v>
      </c>
      <c r="C12" s="7">
        <v>134.86000000000001</v>
      </c>
      <c r="D12" s="7">
        <v>180.84</v>
      </c>
      <c r="E12" s="7">
        <v>211.29</v>
      </c>
      <c r="F12" s="7">
        <v>249.75</v>
      </c>
      <c r="G12" s="7">
        <v>278.29000000000002</v>
      </c>
      <c r="H12" s="26">
        <v>306.61</v>
      </c>
      <c r="I12" s="7">
        <v>334.84</v>
      </c>
      <c r="J12" s="7">
        <v>400.21</v>
      </c>
    </row>
    <row r="13" spans="2:10" x14ac:dyDescent="0.3">
      <c r="B13" s="29" t="s">
        <v>218</v>
      </c>
      <c r="C13" s="5">
        <v>169.92</v>
      </c>
      <c r="D13" s="5">
        <v>227.85</v>
      </c>
      <c r="E13" s="5">
        <v>266.20999999999998</v>
      </c>
      <c r="F13" s="5">
        <v>314.67</v>
      </c>
      <c r="G13" s="5">
        <v>350.62</v>
      </c>
      <c r="H13" s="26">
        <v>386.31</v>
      </c>
      <c r="I13" s="5">
        <v>421.87</v>
      </c>
      <c r="J13" s="5">
        <v>504.23</v>
      </c>
    </row>
    <row r="14" spans="2:10" x14ac:dyDescent="0.3">
      <c r="B14" s="30" t="s">
        <v>219</v>
      </c>
      <c r="C14" s="7">
        <v>214.08</v>
      </c>
      <c r="D14" s="7">
        <v>287.07</v>
      </c>
      <c r="E14" s="7">
        <v>335.4</v>
      </c>
      <c r="F14" s="7">
        <v>396.46</v>
      </c>
      <c r="G14" s="7">
        <v>441.76</v>
      </c>
      <c r="H14" s="26">
        <v>486.72</v>
      </c>
      <c r="I14" s="7">
        <v>531.52</v>
      </c>
      <c r="J14" s="7">
        <v>635.29</v>
      </c>
    </row>
    <row r="17" spans="2:10" ht="28.05" customHeight="1" x14ac:dyDescent="0.3">
      <c r="B17" s="56" t="s">
        <v>220</v>
      </c>
      <c r="C17" s="46"/>
      <c r="D17" s="46"/>
      <c r="E17" s="46"/>
      <c r="F17" s="46"/>
      <c r="G17" s="46"/>
      <c r="H17" s="46"/>
      <c r="I17" s="46"/>
      <c r="J17" s="46"/>
    </row>
    <row r="18" spans="2:10" x14ac:dyDescent="0.3">
      <c r="B18" s="36" t="s">
        <v>203</v>
      </c>
      <c r="C18" s="36" t="s">
        <v>204</v>
      </c>
      <c r="D18" s="36" t="s">
        <v>205</v>
      </c>
      <c r="E18" s="36" t="s">
        <v>206</v>
      </c>
      <c r="F18" s="36" t="s">
        <v>207</v>
      </c>
      <c r="G18" s="36" t="s">
        <v>208</v>
      </c>
      <c r="H18" s="35" t="s">
        <v>209</v>
      </c>
      <c r="I18" s="36" t="s">
        <v>210</v>
      </c>
      <c r="J18" s="36" t="s">
        <v>211</v>
      </c>
    </row>
    <row r="19" spans="2:10" x14ac:dyDescent="0.3">
      <c r="B19" s="29" t="s">
        <v>212</v>
      </c>
      <c r="C19" s="37">
        <v>187.017</v>
      </c>
      <c r="D19" s="37">
        <v>250.78</v>
      </c>
      <c r="E19" s="37">
        <v>292.99700000000001</v>
      </c>
      <c r="F19" s="37">
        <v>346.339</v>
      </c>
      <c r="G19" s="37">
        <v>385.91</v>
      </c>
      <c r="H19" s="38">
        <v>425.18900000000002</v>
      </c>
      <c r="I19" s="37">
        <v>464.32600000000002</v>
      </c>
      <c r="J19" s="37">
        <v>554.98099999999999</v>
      </c>
    </row>
    <row r="20" spans="2:10" x14ac:dyDescent="0.3">
      <c r="B20" s="30" t="s">
        <v>213</v>
      </c>
      <c r="C20" s="39">
        <v>117.813</v>
      </c>
      <c r="D20" s="39">
        <v>157.982</v>
      </c>
      <c r="E20" s="39">
        <v>184.577</v>
      </c>
      <c r="F20" s="39">
        <v>218.18</v>
      </c>
      <c r="G20" s="39">
        <v>243.108</v>
      </c>
      <c r="H20" s="38">
        <v>267.85300000000001</v>
      </c>
      <c r="I20" s="39">
        <v>292.50700000000001</v>
      </c>
      <c r="J20" s="39">
        <v>349.61599999999999</v>
      </c>
    </row>
    <row r="21" spans="2:10" x14ac:dyDescent="0.3">
      <c r="B21" s="29" t="s">
        <v>214</v>
      </c>
      <c r="C21" s="37">
        <v>74.218000000000004</v>
      </c>
      <c r="D21" s="37">
        <v>99.522000000000006</v>
      </c>
      <c r="E21" s="37">
        <v>116.276</v>
      </c>
      <c r="F21" s="37">
        <v>137.44499999999999</v>
      </c>
      <c r="G21" s="37">
        <v>153.149</v>
      </c>
      <c r="H21" s="38">
        <v>168.73699999999999</v>
      </c>
      <c r="I21" s="37">
        <v>184.268</v>
      </c>
      <c r="J21" s="37">
        <v>220.244</v>
      </c>
    </row>
    <row r="22" spans="2:10" x14ac:dyDescent="0.3">
      <c r="B22" s="30" t="s">
        <v>215</v>
      </c>
      <c r="C22" s="39">
        <v>46.753999999999998</v>
      </c>
      <c r="D22" s="39">
        <v>62.695</v>
      </c>
      <c r="E22" s="39">
        <v>73.248999999999995</v>
      </c>
      <c r="F22" s="39">
        <v>86.584999999999994</v>
      </c>
      <c r="G22" s="39">
        <v>96.477999999999994</v>
      </c>
      <c r="H22" s="38">
        <v>106.297</v>
      </c>
      <c r="I22" s="39">
        <v>116.081</v>
      </c>
      <c r="J22" s="39">
        <v>138.745</v>
      </c>
    </row>
    <row r="23" spans="2:10" x14ac:dyDescent="0.3">
      <c r="B23" s="29" t="s">
        <v>216</v>
      </c>
      <c r="C23" s="37">
        <v>35.68</v>
      </c>
      <c r="D23" s="37">
        <v>47.844999999999999</v>
      </c>
      <c r="E23" s="37">
        <v>55.9</v>
      </c>
      <c r="F23" s="37">
        <v>66.075999999999993</v>
      </c>
      <c r="G23" s="37">
        <v>73.626000000000005</v>
      </c>
      <c r="H23" s="38">
        <v>81.12</v>
      </c>
      <c r="I23" s="37">
        <v>88.587000000000003</v>
      </c>
      <c r="J23" s="37">
        <v>105.88200000000001</v>
      </c>
    </row>
    <row r="24" spans="2:10" x14ac:dyDescent="0.3">
      <c r="B24" s="30" t="s">
        <v>217</v>
      </c>
      <c r="C24" s="39">
        <v>22.477</v>
      </c>
      <c r="D24" s="39">
        <v>30.140999999999998</v>
      </c>
      <c r="E24" s="39">
        <v>35.215000000000003</v>
      </c>
      <c r="F24" s="39">
        <v>41.625999999999998</v>
      </c>
      <c r="G24" s="39">
        <v>46.381999999999998</v>
      </c>
      <c r="H24" s="38">
        <v>51.101999999999997</v>
      </c>
      <c r="I24" s="39">
        <v>55.805999999999997</v>
      </c>
      <c r="J24" s="39">
        <v>66.701999999999998</v>
      </c>
    </row>
    <row r="25" spans="2:10" x14ac:dyDescent="0.3">
      <c r="B25" s="29" t="s">
        <v>218</v>
      </c>
      <c r="C25" s="37">
        <v>14.16</v>
      </c>
      <c r="D25" s="37">
        <v>18.986999999999998</v>
      </c>
      <c r="E25" s="37">
        <v>22.184000000000001</v>
      </c>
      <c r="F25" s="37">
        <v>26.222000000000001</v>
      </c>
      <c r="G25" s="37">
        <v>29.219000000000001</v>
      </c>
      <c r="H25" s="38">
        <v>32.192999999999998</v>
      </c>
      <c r="I25" s="37">
        <v>35.155999999999999</v>
      </c>
      <c r="J25" s="37">
        <v>42.018999999999998</v>
      </c>
    </row>
    <row r="26" spans="2:10" x14ac:dyDescent="0.3">
      <c r="B26" s="30" t="s">
        <v>219</v>
      </c>
      <c r="C26" s="39">
        <v>8.92</v>
      </c>
      <c r="D26" s="39">
        <v>11.961</v>
      </c>
      <c r="E26" s="39">
        <v>13.975</v>
      </c>
      <c r="F26" s="39">
        <v>16.518999999999998</v>
      </c>
      <c r="G26" s="39">
        <v>18.407</v>
      </c>
      <c r="H26" s="38">
        <v>20.28</v>
      </c>
      <c r="I26" s="39">
        <v>22.146999999999998</v>
      </c>
      <c r="J26" s="39">
        <v>26.471</v>
      </c>
    </row>
    <row r="28" spans="2:10" ht="49.8" customHeight="1" x14ac:dyDescent="0.3">
      <c r="B28" s="86" t="s">
        <v>246</v>
      </c>
      <c r="C28" s="46"/>
      <c r="D28" s="46"/>
      <c r="E28" s="46"/>
      <c r="F28" s="46"/>
      <c r="G28" s="46"/>
      <c r="H28" s="46"/>
      <c r="I28" s="46"/>
      <c r="J28" s="46"/>
    </row>
  </sheetData>
  <mergeCells count="6">
    <mergeCell ref="B3:J3"/>
    <mergeCell ref="B5:J5"/>
    <mergeCell ref="B28:J28"/>
    <mergeCell ref="B17:J17"/>
    <mergeCell ref="B1:J1"/>
    <mergeCell ref="B2:J2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61"/>
  <sheetViews>
    <sheetView zoomScale="74" workbookViewId="0">
      <selection activeCell="B61" sqref="B61:H61"/>
    </sheetView>
  </sheetViews>
  <sheetFormatPr defaultRowHeight="14.4" x14ac:dyDescent="0.3"/>
  <cols>
    <col min="1" max="1" width="3" customWidth="1"/>
    <col min="2" max="3" width="14" customWidth="1"/>
    <col min="4" max="7" width="18" customWidth="1"/>
    <col min="8" max="8" width="22" customWidth="1"/>
  </cols>
  <sheetData>
    <row r="1" spans="2:8" ht="30" customHeight="1" x14ac:dyDescent="0.3">
      <c r="B1" s="89" t="s">
        <v>221</v>
      </c>
      <c r="C1" s="46"/>
      <c r="D1" s="46"/>
      <c r="E1" s="46"/>
      <c r="F1" s="46"/>
      <c r="G1" s="46"/>
      <c r="H1" s="46"/>
    </row>
    <row r="2" spans="2:8" x14ac:dyDescent="0.3">
      <c r="B2" s="90" t="s">
        <v>222</v>
      </c>
      <c r="C2" s="44"/>
      <c r="D2" s="44"/>
      <c r="E2" s="44"/>
      <c r="F2" s="44"/>
      <c r="G2" s="44"/>
      <c r="H2" s="44"/>
    </row>
    <row r="3" spans="2:8" x14ac:dyDescent="0.3">
      <c r="B3" s="85" t="s">
        <v>223</v>
      </c>
      <c r="C3" s="44"/>
      <c r="D3" s="44"/>
      <c r="E3" s="44"/>
      <c r="F3" s="44"/>
      <c r="G3" s="44"/>
      <c r="H3" s="44"/>
    </row>
    <row r="5" spans="2:8" ht="28.05" customHeight="1" x14ac:dyDescent="0.3">
      <c r="B5" s="45" t="s">
        <v>224</v>
      </c>
      <c r="C5" s="46"/>
      <c r="D5" s="46"/>
      <c r="E5" s="46"/>
      <c r="F5" s="46"/>
      <c r="G5" s="46"/>
      <c r="H5" s="46"/>
    </row>
    <row r="6" spans="2:8" ht="26.4" x14ac:dyDescent="0.3">
      <c r="B6" s="1" t="s">
        <v>225</v>
      </c>
      <c r="C6" s="1" t="s">
        <v>226</v>
      </c>
      <c r="D6" s="1" t="s">
        <v>227</v>
      </c>
      <c r="E6" s="1" t="s">
        <v>228</v>
      </c>
      <c r="F6" s="1" t="s">
        <v>229</v>
      </c>
      <c r="G6" s="1" t="s">
        <v>230</v>
      </c>
      <c r="H6" s="1" t="s">
        <v>231</v>
      </c>
    </row>
    <row r="7" spans="2:8" x14ac:dyDescent="0.3">
      <c r="B7" s="39">
        <v>1</v>
      </c>
      <c r="C7" s="39">
        <v>60</v>
      </c>
      <c r="D7" s="39">
        <v>0.34667999999999999</v>
      </c>
      <c r="E7" s="39">
        <v>168.73699999999999</v>
      </c>
      <c r="F7" s="39">
        <v>168.73699999999999</v>
      </c>
      <c r="G7" s="39">
        <v>168.73699999999999</v>
      </c>
      <c r="H7" s="10"/>
    </row>
    <row r="8" spans="2:8" x14ac:dyDescent="0.3">
      <c r="B8" s="37">
        <v>2</v>
      </c>
      <c r="C8" s="37">
        <v>120</v>
      </c>
      <c r="D8" s="37">
        <v>0.43679000000000001</v>
      </c>
      <c r="E8" s="37">
        <v>212.595</v>
      </c>
      <c r="F8" s="37">
        <v>43.857999999999997</v>
      </c>
      <c r="G8" s="37">
        <v>43.857999999999997</v>
      </c>
      <c r="H8" s="9"/>
    </row>
    <row r="9" spans="2:8" x14ac:dyDescent="0.3">
      <c r="B9" s="39">
        <v>3</v>
      </c>
      <c r="C9" s="39">
        <v>180</v>
      </c>
      <c r="D9" s="39">
        <v>0.5</v>
      </c>
      <c r="E9" s="39">
        <v>243.36</v>
      </c>
      <c r="F9" s="39">
        <v>30.765000000000001</v>
      </c>
      <c r="G9" s="39">
        <v>30.765000000000001</v>
      </c>
      <c r="H9" s="10"/>
    </row>
    <row r="10" spans="2:8" x14ac:dyDescent="0.3">
      <c r="B10" s="37">
        <v>4</v>
      </c>
      <c r="C10" s="37">
        <v>240</v>
      </c>
      <c r="D10" s="37">
        <v>0.55032000000000003</v>
      </c>
      <c r="E10" s="37">
        <v>267.85300000000001</v>
      </c>
      <c r="F10" s="37">
        <v>24.492000000000001</v>
      </c>
      <c r="G10" s="37">
        <v>24.492000000000001</v>
      </c>
      <c r="H10" s="9"/>
    </row>
    <row r="11" spans="2:8" x14ac:dyDescent="0.3">
      <c r="B11" s="39">
        <v>5</v>
      </c>
      <c r="C11" s="39">
        <v>300</v>
      </c>
      <c r="D11" s="39">
        <v>0.59282000000000001</v>
      </c>
      <c r="E11" s="39">
        <v>288.53500000000003</v>
      </c>
      <c r="F11" s="39">
        <v>20.683</v>
      </c>
      <c r="G11" s="39">
        <v>20.683</v>
      </c>
      <c r="H11" s="10"/>
    </row>
    <row r="12" spans="2:8" x14ac:dyDescent="0.3">
      <c r="B12" s="37">
        <v>6</v>
      </c>
      <c r="C12" s="37">
        <v>360</v>
      </c>
      <c r="D12" s="37">
        <v>0.62995999999999996</v>
      </c>
      <c r="E12" s="37">
        <v>306.61500000000001</v>
      </c>
      <c r="F12" s="37">
        <v>18.079000000000001</v>
      </c>
      <c r="G12" s="37">
        <v>18.079000000000001</v>
      </c>
      <c r="H12" s="9"/>
    </row>
    <row r="13" spans="2:8" x14ac:dyDescent="0.3">
      <c r="B13" s="39">
        <v>7</v>
      </c>
      <c r="C13" s="39">
        <v>420</v>
      </c>
      <c r="D13" s="39">
        <v>0.66317999999999999</v>
      </c>
      <c r="E13" s="39">
        <v>322.78100000000001</v>
      </c>
      <c r="F13" s="39">
        <v>16.167000000000002</v>
      </c>
      <c r="G13" s="39">
        <v>16.167000000000002</v>
      </c>
      <c r="H13" s="10"/>
    </row>
    <row r="14" spans="2:8" x14ac:dyDescent="0.3">
      <c r="B14" s="37">
        <v>8</v>
      </c>
      <c r="C14" s="37">
        <v>480</v>
      </c>
      <c r="D14" s="37">
        <v>0.69335999999999998</v>
      </c>
      <c r="E14" s="37">
        <v>337.47300000000001</v>
      </c>
      <c r="F14" s="37">
        <v>14.692</v>
      </c>
      <c r="G14" s="37">
        <v>14.692</v>
      </c>
      <c r="H14" s="9"/>
    </row>
    <row r="15" spans="2:8" x14ac:dyDescent="0.3">
      <c r="B15" s="39">
        <v>9</v>
      </c>
      <c r="C15" s="39">
        <v>540</v>
      </c>
      <c r="D15" s="39">
        <v>0.72111999999999998</v>
      </c>
      <c r="E15" s="39">
        <v>350.98599999999999</v>
      </c>
      <c r="F15" s="39">
        <v>13.513</v>
      </c>
      <c r="G15" s="39">
        <v>13.513</v>
      </c>
      <c r="H15" s="10"/>
    </row>
    <row r="16" spans="2:8" x14ac:dyDescent="0.3">
      <c r="B16" s="37">
        <v>10</v>
      </c>
      <c r="C16" s="37">
        <v>600</v>
      </c>
      <c r="D16" s="37">
        <v>0.74690000000000001</v>
      </c>
      <c r="E16" s="37">
        <v>363.53199999999998</v>
      </c>
      <c r="F16" s="37">
        <v>12.545999999999999</v>
      </c>
      <c r="G16" s="37">
        <v>12.545999999999999</v>
      </c>
      <c r="H16" s="9"/>
    </row>
    <row r="17" spans="2:8" x14ac:dyDescent="0.3">
      <c r="B17" s="39">
        <v>11</v>
      </c>
      <c r="C17" s="39">
        <v>660</v>
      </c>
      <c r="D17" s="39">
        <v>0.77100999999999997</v>
      </c>
      <c r="E17" s="39">
        <v>375.267</v>
      </c>
      <c r="F17" s="39">
        <v>11.734999999999999</v>
      </c>
      <c r="G17" s="39">
        <v>11.734999999999999</v>
      </c>
      <c r="H17" s="10"/>
    </row>
    <row r="18" spans="2:8" x14ac:dyDescent="0.3">
      <c r="B18" s="37">
        <v>12</v>
      </c>
      <c r="C18" s="37">
        <v>720</v>
      </c>
      <c r="D18" s="37">
        <v>0.79369999999999996</v>
      </c>
      <c r="E18" s="37">
        <v>386.31</v>
      </c>
      <c r="F18" s="37">
        <v>11.044</v>
      </c>
      <c r="G18" s="37">
        <v>11.044</v>
      </c>
      <c r="H18" s="9"/>
    </row>
    <row r="19" spans="2:8" x14ac:dyDescent="0.3">
      <c r="B19" s="39">
        <v>13</v>
      </c>
      <c r="C19" s="39">
        <v>780</v>
      </c>
      <c r="D19" s="39">
        <v>0.81516</v>
      </c>
      <c r="E19" s="39">
        <v>396.75599999999997</v>
      </c>
      <c r="F19" s="39">
        <v>10.446</v>
      </c>
      <c r="G19" s="39">
        <v>10.446</v>
      </c>
      <c r="H19" s="10"/>
    </row>
    <row r="20" spans="2:8" x14ac:dyDescent="0.3">
      <c r="B20" s="37">
        <v>14</v>
      </c>
      <c r="C20" s="37">
        <v>840</v>
      </c>
      <c r="D20" s="37">
        <v>0.83555000000000001</v>
      </c>
      <c r="E20" s="37">
        <v>406.67899999999997</v>
      </c>
      <c r="F20" s="37">
        <v>9.923</v>
      </c>
      <c r="G20" s="37">
        <v>9.923</v>
      </c>
      <c r="H20" s="9"/>
    </row>
    <row r="21" spans="2:8" x14ac:dyDescent="0.3">
      <c r="B21" s="39">
        <v>15</v>
      </c>
      <c r="C21" s="39">
        <v>900</v>
      </c>
      <c r="D21" s="39">
        <v>0.85499000000000003</v>
      </c>
      <c r="E21" s="39">
        <v>416.14</v>
      </c>
      <c r="F21" s="39">
        <v>9.4610000000000003</v>
      </c>
      <c r="G21" s="39">
        <v>9.4610000000000003</v>
      </c>
      <c r="H21" s="10"/>
    </row>
    <row r="22" spans="2:8" x14ac:dyDescent="0.3">
      <c r="B22" s="37">
        <v>16</v>
      </c>
      <c r="C22" s="37">
        <v>960</v>
      </c>
      <c r="D22" s="37">
        <v>0.87358000000000002</v>
      </c>
      <c r="E22" s="37">
        <v>425.18900000000002</v>
      </c>
      <c r="F22" s="37">
        <v>9.0489999999999995</v>
      </c>
      <c r="G22" s="37">
        <v>9.0489999999999995</v>
      </c>
      <c r="H22" s="9"/>
    </row>
    <row r="23" spans="2:8" x14ac:dyDescent="0.3">
      <c r="B23" s="39">
        <v>17</v>
      </c>
      <c r="C23" s="39">
        <v>1020</v>
      </c>
      <c r="D23" s="39">
        <v>0.89141000000000004</v>
      </c>
      <c r="E23" s="39">
        <v>433.86900000000003</v>
      </c>
      <c r="F23" s="39">
        <v>8.68</v>
      </c>
      <c r="G23" s="39">
        <v>8.68</v>
      </c>
      <c r="H23" s="10"/>
    </row>
    <row r="24" spans="2:8" x14ac:dyDescent="0.3">
      <c r="B24" s="37">
        <v>18</v>
      </c>
      <c r="C24" s="37">
        <v>1080</v>
      </c>
      <c r="D24" s="37">
        <v>0.90856000000000003</v>
      </c>
      <c r="E24" s="37">
        <v>442.21499999999997</v>
      </c>
      <c r="F24" s="37">
        <v>8.3460000000000001</v>
      </c>
      <c r="G24" s="37">
        <v>8.3460000000000001</v>
      </c>
      <c r="H24" s="9"/>
    </row>
    <row r="25" spans="2:8" x14ac:dyDescent="0.3">
      <c r="B25" s="39">
        <v>19</v>
      </c>
      <c r="C25" s="39">
        <v>1140</v>
      </c>
      <c r="D25" s="39">
        <v>0.92508000000000001</v>
      </c>
      <c r="E25" s="39">
        <v>450.25700000000001</v>
      </c>
      <c r="F25" s="39">
        <v>8.0419999999999998</v>
      </c>
      <c r="G25" s="39">
        <v>8.0419999999999998</v>
      </c>
      <c r="H25" s="10"/>
    </row>
    <row r="26" spans="2:8" x14ac:dyDescent="0.3">
      <c r="B26" s="37">
        <v>20</v>
      </c>
      <c r="C26" s="37">
        <v>1200</v>
      </c>
      <c r="D26" s="37">
        <v>0.94103999999999999</v>
      </c>
      <c r="E26" s="37">
        <v>458.02100000000002</v>
      </c>
      <c r="F26" s="37">
        <v>7.7649999999999997</v>
      </c>
      <c r="G26" s="37">
        <v>7.7649999999999997</v>
      </c>
      <c r="H26" s="9"/>
    </row>
    <row r="27" spans="2:8" x14ac:dyDescent="0.3">
      <c r="B27" s="39">
        <v>21</v>
      </c>
      <c r="C27" s="39">
        <v>1260</v>
      </c>
      <c r="D27" s="39">
        <v>0.95647000000000004</v>
      </c>
      <c r="E27" s="39">
        <v>465.53100000000001</v>
      </c>
      <c r="F27" s="39">
        <v>7.51</v>
      </c>
      <c r="G27" s="39">
        <v>7.51</v>
      </c>
      <c r="H27" s="10"/>
    </row>
    <row r="28" spans="2:8" x14ac:dyDescent="0.3">
      <c r="B28" s="37">
        <v>22</v>
      </c>
      <c r="C28" s="37">
        <v>1320</v>
      </c>
      <c r="D28" s="37">
        <v>0.97141</v>
      </c>
      <c r="E28" s="37">
        <v>472.80599999999998</v>
      </c>
      <c r="F28" s="37">
        <v>7.2750000000000004</v>
      </c>
      <c r="G28" s="37">
        <v>7.2750000000000004</v>
      </c>
      <c r="H28" s="9"/>
    </row>
    <row r="29" spans="2:8" x14ac:dyDescent="0.3">
      <c r="B29" s="39">
        <v>23</v>
      </c>
      <c r="C29" s="39">
        <v>1380</v>
      </c>
      <c r="D29" s="39">
        <v>0.98590999999999995</v>
      </c>
      <c r="E29" s="39">
        <v>479.86399999999998</v>
      </c>
      <c r="F29" s="39">
        <v>7.0579999999999998</v>
      </c>
      <c r="G29" s="39">
        <v>7.0579999999999998</v>
      </c>
      <c r="H29" s="10"/>
    </row>
    <row r="30" spans="2:8" x14ac:dyDescent="0.3">
      <c r="B30" s="37">
        <v>24</v>
      </c>
      <c r="C30" s="37">
        <v>1440</v>
      </c>
      <c r="D30" s="37">
        <v>1</v>
      </c>
      <c r="E30" s="37">
        <v>486.72</v>
      </c>
      <c r="F30" s="37">
        <v>6.8559999999999999</v>
      </c>
      <c r="G30" s="37">
        <v>6.8559999999999999</v>
      </c>
      <c r="H30" s="9">
        <f>486.72</f>
        <v>486.72</v>
      </c>
    </row>
    <row r="31" spans="2:8" x14ac:dyDescent="0.3">
      <c r="B31" s="88" t="s">
        <v>232</v>
      </c>
      <c r="C31" s="44"/>
      <c r="D31" s="44"/>
      <c r="E31" s="44"/>
      <c r="F31" s="44"/>
      <c r="G31" s="44"/>
      <c r="H31" s="44"/>
    </row>
    <row r="33" spans="2:8" ht="28.05" customHeight="1" x14ac:dyDescent="0.3">
      <c r="B33" s="45" t="s">
        <v>233</v>
      </c>
      <c r="C33" s="46"/>
      <c r="D33" s="46"/>
      <c r="E33" s="46"/>
      <c r="F33" s="46"/>
      <c r="G33" s="46"/>
      <c r="H33" s="46"/>
    </row>
    <row r="34" spans="2:8" ht="26.4" x14ac:dyDescent="0.3">
      <c r="B34" s="1" t="s">
        <v>225</v>
      </c>
      <c r="C34" s="1" t="s">
        <v>226</v>
      </c>
      <c r="D34" s="1" t="s">
        <v>234</v>
      </c>
      <c r="E34" s="1" t="s">
        <v>230</v>
      </c>
      <c r="F34" s="1" t="s">
        <v>235</v>
      </c>
      <c r="G34" s="1" t="s">
        <v>236</v>
      </c>
      <c r="H34" s="1" t="s">
        <v>237</v>
      </c>
    </row>
    <row r="35" spans="2:8" x14ac:dyDescent="0.3">
      <c r="B35" s="39">
        <v>1</v>
      </c>
      <c r="C35" s="39">
        <v>60</v>
      </c>
      <c r="D35" s="39">
        <v>7.0579999999999998</v>
      </c>
      <c r="E35" s="39">
        <v>7.0579999999999998</v>
      </c>
      <c r="F35" s="39">
        <v>7.0579999999999998</v>
      </c>
      <c r="G35" s="39">
        <v>1.45</v>
      </c>
      <c r="H35" s="39">
        <v>23</v>
      </c>
    </row>
    <row r="36" spans="2:8" x14ac:dyDescent="0.3">
      <c r="B36" s="37">
        <v>2</v>
      </c>
      <c r="C36" s="37">
        <v>120</v>
      </c>
      <c r="D36" s="37">
        <v>7.51</v>
      </c>
      <c r="E36" s="37">
        <v>7.51</v>
      </c>
      <c r="F36" s="37">
        <v>14.568</v>
      </c>
      <c r="G36" s="37">
        <v>1.54</v>
      </c>
      <c r="H36" s="37">
        <v>21</v>
      </c>
    </row>
    <row r="37" spans="2:8" x14ac:dyDescent="0.3">
      <c r="B37" s="39">
        <v>3</v>
      </c>
      <c r="C37" s="39">
        <v>180</v>
      </c>
      <c r="D37" s="39">
        <v>8.0419999999999998</v>
      </c>
      <c r="E37" s="39">
        <v>8.0419999999999998</v>
      </c>
      <c r="F37" s="39">
        <v>22.61</v>
      </c>
      <c r="G37" s="39">
        <v>1.65</v>
      </c>
      <c r="H37" s="39">
        <v>19</v>
      </c>
    </row>
    <row r="38" spans="2:8" x14ac:dyDescent="0.3">
      <c r="B38" s="37">
        <v>4</v>
      </c>
      <c r="C38" s="37">
        <v>240</v>
      </c>
      <c r="D38" s="37">
        <v>8.68</v>
      </c>
      <c r="E38" s="37">
        <v>8.68</v>
      </c>
      <c r="F38" s="37">
        <v>31.289000000000001</v>
      </c>
      <c r="G38" s="37">
        <v>1.78</v>
      </c>
      <c r="H38" s="37">
        <v>17</v>
      </c>
    </row>
    <row r="39" spans="2:8" x14ac:dyDescent="0.3">
      <c r="B39" s="39">
        <v>5</v>
      </c>
      <c r="C39" s="39">
        <v>300</v>
      </c>
      <c r="D39" s="39">
        <v>9.4610000000000003</v>
      </c>
      <c r="E39" s="39">
        <v>9.4610000000000003</v>
      </c>
      <c r="F39" s="39">
        <v>40.750999999999998</v>
      </c>
      <c r="G39" s="39">
        <v>1.94</v>
      </c>
      <c r="H39" s="39">
        <v>15</v>
      </c>
    </row>
    <row r="40" spans="2:8" x14ac:dyDescent="0.3">
      <c r="B40" s="37">
        <v>6</v>
      </c>
      <c r="C40" s="37">
        <v>360</v>
      </c>
      <c r="D40" s="37">
        <v>10.446</v>
      </c>
      <c r="E40" s="37">
        <v>10.446</v>
      </c>
      <c r="F40" s="37">
        <v>51.195999999999998</v>
      </c>
      <c r="G40" s="37">
        <v>2.15</v>
      </c>
      <c r="H40" s="37">
        <v>13</v>
      </c>
    </row>
    <row r="41" spans="2:8" x14ac:dyDescent="0.3">
      <c r="B41" s="39">
        <v>7</v>
      </c>
      <c r="C41" s="39">
        <v>420</v>
      </c>
      <c r="D41" s="39">
        <v>11.734999999999999</v>
      </c>
      <c r="E41" s="39">
        <v>11.734999999999999</v>
      </c>
      <c r="F41" s="39">
        <v>62.930999999999997</v>
      </c>
      <c r="G41" s="39">
        <v>2.41</v>
      </c>
      <c r="H41" s="39">
        <v>11</v>
      </c>
    </row>
    <row r="42" spans="2:8" x14ac:dyDescent="0.3">
      <c r="B42" s="37">
        <v>8</v>
      </c>
      <c r="C42" s="37">
        <v>480</v>
      </c>
      <c r="D42" s="37">
        <v>13.513</v>
      </c>
      <c r="E42" s="37">
        <v>13.513</v>
      </c>
      <c r="F42" s="37">
        <v>76.444000000000003</v>
      </c>
      <c r="G42" s="37">
        <v>2.78</v>
      </c>
      <c r="H42" s="37">
        <v>9</v>
      </c>
    </row>
    <row r="43" spans="2:8" x14ac:dyDescent="0.3">
      <c r="B43" s="39">
        <v>9</v>
      </c>
      <c r="C43" s="39">
        <v>540</v>
      </c>
      <c r="D43" s="39">
        <v>16.167000000000002</v>
      </c>
      <c r="E43" s="39">
        <v>16.167000000000002</v>
      </c>
      <c r="F43" s="39">
        <v>92.611000000000004</v>
      </c>
      <c r="G43" s="39">
        <v>3.32</v>
      </c>
      <c r="H43" s="39">
        <v>7</v>
      </c>
    </row>
    <row r="44" spans="2:8" x14ac:dyDescent="0.3">
      <c r="B44" s="37">
        <v>10</v>
      </c>
      <c r="C44" s="37">
        <v>600</v>
      </c>
      <c r="D44" s="37">
        <v>20.683</v>
      </c>
      <c r="E44" s="37">
        <v>20.683</v>
      </c>
      <c r="F44" s="37">
        <v>113.294</v>
      </c>
      <c r="G44" s="37">
        <v>4.25</v>
      </c>
      <c r="H44" s="37">
        <v>5</v>
      </c>
    </row>
    <row r="45" spans="2:8" x14ac:dyDescent="0.3">
      <c r="B45" s="39">
        <v>11</v>
      </c>
      <c r="C45" s="39">
        <v>660</v>
      </c>
      <c r="D45" s="39">
        <v>30.765000000000001</v>
      </c>
      <c r="E45" s="39">
        <v>30.765000000000001</v>
      </c>
      <c r="F45" s="39">
        <v>144.059</v>
      </c>
      <c r="G45" s="39">
        <v>6.32</v>
      </c>
      <c r="H45" s="39">
        <v>3</v>
      </c>
    </row>
    <row r="46" spans="2:8" x14ac:dyDescent="0.3">
      <c r="B46" s="38">
        <v>12</v>
      </c>
      <c r="C46" s="38">
        <v>720</v>
      </c>
      <c r="D46" s="38">
        <v>168.73699999999999</v>
      </c>
      <c r="E46" s="38">
        <v>168.73699999999999</v>
      </c>
      <c r="F46" s="38">
        <v>312.79599999999999</v>
      </c>
      <c r="G46" s="38">
        <v>34.67</v>
      </c>
      <c r="H46" s="38">
        <v>1</v>
      </c>
    </row>
    <row r="47" spans="2:8" x14ac:dyDescent="0.3">
      <c r="B47" s="39">
        <v>13</v>
      </c>
      <c r="C47" s="39">
        <v>780</v>
      </c>
      <c r="D47" s="39">
        <v>43.857999999999997</v>
      </c>
      <c r="E47" s="39">
        <v>43.857999999999997</v>
      </c>
      <c r="F47" s="39">
        <v>356.654</v>
      </c>
      <c r="G47" s="39">
        <v>9.01</v>
      </c>
      <c r="H47" s="39">
        <v>2</v>
      </c>
    </row>
    <row r="48" spans="2:8" x14ac:dyDescent="0.3">
      <c r="B48" s="37">
        <v>14</v>
      </c>
      <c r="C48" s="37">
        <v>840</v>
      </c>
      <c r="D48" s="37">
        <v>24.492000000000001</v>
      </c>
      <c r="E48" s="37">
        <v>24.492000000000001</v>
      </c>
      <c r="F48" s="37">
        <v>381.14600000000002</v>
      </c>
      <c r="G48" s="37">
        <v>5.03</v>
      </c>
      <c r="H48" s="37">
        <v>4</v>
      </c>
    </row>
    <row r="49" spans="2:8" x14ac:dyDescent="0.3">
      <c r="B49" s="39">
        <v>15</v>
      </c>
      <c r="C49" s="39">
        <v>900</v>
      </c>
      <c r="D49" s="39">
        <v>18.079000000000001</v>
      </c>
      <c r="E49" s="39">
        <v>18.079000000000001</v>
      </c>
      <c r="F49" s="39">
        <v>399.226</v>
      </c>
      <c r="G49" s="39">
        <v>3.71</v>
      </c>
      <c r="H49" s="39">
        <v>6</v>
      </c>
    </row>
    <row r="50" spans="2:8" x14ac:dyDescent="0.3">
      <c r="B50" s="37">
        <v>16</v>
      </c>
      <c r="C50" s="37">
        <v>960</v>
      </c>
      <c r="D50" s="37">
        <v>14.692</v>
      </c>
      <c r="E50" s="37">
        <v>14.692</v>
      </c>
      <c r="F50" s="37">
        <v>413.91699999999997</v>
      </c>
      <c r="G50" s="37">
        <v>3.02</v>
      </c>
      <c r="H50" s="37">
        <v>8</v>
      </c>
    </row>
    <row r="51" spans="2:8" x14ac:dyDescent="0.3">
      <c r="B51" s="39">
        <v>17</v>
      </c>
      <c r="C51" s="39">
        <v>1020</v>
      </c>
      <c r="D51" s="39">
        <v>12.545999999999999</v>
      </c>
      <c r="E51" s="39">
        <v>12.545999999999999</v>
      </c>
      <c r="F51" s="39">
        <v>426.46300000000002</v>
      </c>
      <c r="G51" s="39">
        <v>2.58</v>
      </c>
      <c r="H51" s="39">
        <v>10</v>
      </c>
    </row>
    <row r="52" spans="2:8" x14ac:dyDescent="0.3">
      <c r="B52" s="37">
        <v>18</v>
      </c>
      <c r="C52" s="37">
        <v>1080</v>
      </c>
      <c r="D52" s="37">
        <v>11.044</v>
      </c>
      <c r="E52" s="37">
        <v>11.044</v>
      </c>
      <c r="F52" s="37">
        <v>437.50700000000001</v>
      </c>
      <c r="G52" s="37">
        <v>2.27</v>
      </c>
      <c r="H52" s="37">
        <v>12</v>
      </c>
    </row>
    <row r="53" spans="2:8" x14ac:dyDescent="0.3">
      <c r="B53" s="39">
        <v>19</v>
      </c>
      <c r="C53" s="39">
        <v>1140</v>
      </c>
      <c r="D53" s="39">
        <v>9.923</v>
      </c>
      <c r="E53" s="39">
        <v>9.923</v>
      </c>
      <c r="F53" s="39">
        <v>447.43</v>
      </c>
      <c r="G53" s="39">
        <v>2.04</v>
      </c>
      <c r="H53" s="39">
        <v>14</v>
      </c>
    </row>
    <row r="54" spans="2:8" x14ac:dyDescent="0.3">
      <c r="B54" s="37">
        <v>20</v>
      </c>
      <c r="C54" s="37">
        <v>1200</v>
      </c>
      <c r="D54" s="37">
        <v>9.0489999999999995</v>
      </c>
      <c r="E54" s="37">
        <v>9.0489999999999995</v>
      </c>
      <c r="F54" s="37">
        <v>456.47899999999998</v>
      </c>
      <c r="G54" s="37">
        <v>1.86</v>
      </c>
      <c r="H54" s="37">
        <v>16</v>
      </c>
    </row>
    <row r="55" spans="2:8" x14ac:dyDescent="0.3">
      <c r="B55" s="39">
        <v>21</v>
      </c>
      <c r="C55" s="39">
        <v>1260</v>
      </c>
      <c r="D55" s="39">
        <v>8.3460000000000001</v>
      </c>
      <c r="E55" s="39">
        <v>8.3460000000000001</v>
      </c>
      <c r="F55" s="39">
        <v>464.82499999999999</v>
      </c>
      <c r="G55" s="39">
        <v>1.71</v>
      </c>
      <c r="H55" s="39">
        <v>18</v>
      </c>
    </row>
    <row r="56" spans="2:8" x14ac:dyDescent="0.3">
      <c r="B56" s="37">
        <v>22</v>
      </c>
      <c r="C56" s="37">
        <v>1320</v>
      </c>
      <c r="D56" s="37">
        <v>7.7649999999999997</v>
      </c>
      <c r="E56" s="37">
        <v>7.7649999999999997</v>
      </c>
      <c r="F56" s="37">
        <v>472.589</v>
      </c>
      <c r="G56" s="37">
        <v>1.6</v>
      </c>
      <c r="H56" s="37">
        <v>20</v>
      </c>
    </row>
    <row r="57" spans="2:8" x14ac:dyDescent="0.3">
      <c r="B57" s="39">
        <v>23</v>
      </c>
      <c r="C57" s="39">
        <v>1380</v>
      </c>
      <c r="D57" s="39">
        <v>7.2750000000000004</v>
      </c>
      <c r="E57" s="39">
        <v>7.2750000000000004</v>
      </c>
      <c r="F57" s="39">
        <v>479.86399999999998</v>
      </c>
      <c r="G57" s="39">
        <v>1.49</v>
      </c>
      <c r="H57" s="39">
        <v>22</v>
      </c>
    </row>
    <row r="58" spans="2:8" x14ac:dyDescent="0.3">
      <c r="B58" s="37">
        <v>24</v>
      </c>
      <c r="C58" s="37">
        <v>1440</v>
      </c>
      <c r="D58" s="37">
        <v>6.8559999999999999</v>
      </c>
      <c r="E58" s="37">
        <v>6.8559999999999999</v>
      </c>
      <c r="F58" s="37">
        <v>486.72</v>
      </c>
      <c r="G58" s="37">
        <v>1.41</v>
      </c>
      <c r="H58" s="37">
        <v>24</v>
      </c>
    </row>
    <row r="60" spans="2:8" x14ac:dyDescent="0.3">
      <c r="B60" s="88" t="s">
        <v>238</v>
      </c>
      <c r="C60" s="44"/>
      <c r="D60" s="44"/>
      <c r="E60" s="44"/>
      <c r="F60" s="44"/>
      <c r="G60" s="44"/>
      <c r="H60" s="44"/>
    </row>
    <row r="61" spans="2:8" ht="48.6" customHeight="1" x14ac:dyDescent="0.3">
      <c r="B61" s="43" t="s">
        <v>239</v>
      </c>
      <c r="C61" s="44"/>
      <c r="D61" s="44"/>
      <c r="E61" s="44"/>
      <c r="F61" s="44"/>
      <c r="G61" s="44"/>
      <c r="H61" s="44"/>
    </row>
  </sheetData>
  <mergeCells count="8">
    <mergeCell ref="B60:H60"/>
    <mergeCell ref="B31:H31"/>
    <mergeCell ref="B61:H61"/>
    <mergeCell ref="B1:H1"/>
    <mergeCell ref="B2:H2"/>
    <mergeCell ref="B33:H33"/>
    <mergeCell ref="B3:H3"/>
    <mergeCell ref="B5:H5"/>
  </mergeCells>
  <pageMargins left="0.75" right="0.75" top="1" bottom="1" header="0.5" footer="0.5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topLeftCell="B7" zoomScale="95" workbookViewId="0">
      <selection activeCell="AA25" sqref="AA25"/>
    </sheetView>
  </sheetViews>
  <sheetFormatPr defaultRowHeight="14.4" x14ac:dyDescent="0.3"/>
  <cols>
    <col min="1" max="1" width="36" customWidth="1"/>
    <col min="2" max="9" width="11" customWidth="1"/>
  </cols>
  <sheetData>
    <row r="1" spans="1:9" ht="28.95" customHeight="1" x14ac:dyDescent="0.3">
      <c r="A1" s="61" t="s">
        <v>240</v>
      </c>
      <c r="B1" s="46"/>
      <c r="C1" s="46"/>
      <c r="D1" s="46"/>
      <c r="E1" s="46"/>
      <c r="F1" s="46"/>
      <c r="G1" s="46"/>
      <c r="H1" s="46"/>
      <c r="I1" s="46"/>
    </row>
    <row r="3" spans="1:9" x14ac:dyDescent="0.3">
      <c r="A3" s="40" t="s">
        <v>241</v>
      </c>
      <c r="B3" s="41">
        <v>15</v>
      </c>
      <c r="C3" s="41">
        <v>30</v>
      </c>
      <c r="D3" s="41">
        <v>60</v>
      </c>
      <c r="E3" s="41">
        <v>120</v>
      </c>
      <c r="F3" s="41">
        <v>180</v>
      </c>
      <c r="G3" s="41">
        <v>360</v>
      </c>
      <c r="H3" s="41">
        <v>720</v>
      </c>
      <c r="I3" s="41">
        <v>1440</v>
      </c>
    </row>
    <row r="4" spans="1:9" x14ac:dyDescent="0.3">
      <c r="A4" s="9" t="s">
        <v>204</v>
      </c>
      <c r="B4" s="5">
        <v>187.02</v>
      </c>
      <c r="C4" s="5">
        <v>117.81</v>
      </c>
      <c r="D4" s="5">
        <v>74.22</v>
      </c>
      <c r="E4" s="5">
        <v>46.75</v>
      </c>
      <c r="F4" s="5">
        <v>35.68</v>
      </c>
      <c r="G4" s="5">
        <v>22.48</v>
      </c>
      <c r="H4" s="5">
        <v>14.16</v>
      </c>
      <c r="I4" s="5">
        <v>8.92</v>
      </c>
    </row>
    <row r="5" spans="1:9" x14ac:dyDescent="0.3">
      <c r="A5" s="10" t="s">
        <v>205</v>
      </c>
      <c r="B5" s="7">
        <v>250.78</v>
      </c>
      <c r="C5" s="7">
        <v>157.97999999999999</v>
      </c>
      <c r="D5" s="7">
        <v>99.52</v>
      </c>
      <c r="E5" s="7">
        <v>62.7</v>
      </c>
      <c r="F5" s="7">
        <v>47.85</v>
      </c>
      <c r="G5" s="7">
        <v>30.14</v>
      </c>
      <c r="H5" s="7">
        <v>18.989999999999998</v>
      </c>
      <c r="I5" s="7">
        <v>11.96</v>
      </c>
    </row>
    <row r="6" spans="1:9" x14ac:dyDescent="0.3">
      <c r="A6" s="9" t="s">
        <v>206</v>
      </c>
      <c r="B6" s="5">
        <v>293</v>
      </c>
      <c r="C6" s="5">
        <v>184.58</v>
      </c>
      <c r="D6" s="5">
        <v>116.28</v>
      </c>
      <c r="E6" s="5">
        <v>73.25</v>
      </c>
      <c r="F6" s="5">
        <v>55.9</v>
      </c>
      <c r="G6" s="5">
        <v>35.21</v>
      </c>
      <c r="H6" s="5">
        <v>22.18</v>
      </c>
      <c r="I6" s="5">
        <v>13.97</v>
      </c>
    </row>
    <row r="7" spans="1:9" x14ac:dyDescent="0.3">
      <c r="A7" s="10" t="s">
        <v>207</v>
      </c>
      <c r="B7" s="7">
        <v>346.34</v>
      </c>
      <c r="C7" s="7">
        <v>218.18</v>
      </c>
      <c r="D7" s="7">
        <v>137.44</v>
      </c>
      <c r="E7" s="7">
        <v>86.58</v>
      </c>
      <c r="F7" s="7">
        <v>66.08</v>
      </c>
      <c r="G7" s="7">
        <v>41.63</v>
      </c>
      <c r="H7" s="7">
        <v>26.22</v>
      </c>
      <c r="I7" s="7">
        <v>16.52</v>
      </c>
    </row>
    <row r="8" spans="1:9" x14ac:dyDescent="0.3">
      <c r="A8" s="9" t="s">
        <v>208</v>
      </c>
      <c r="B8" s="5">
        <v>385.91</v>
      </c>
      <c r="C8" s="5">
        <v>243.11</v>
      </c>
      <c r="D8" s="5">
        <v>153.15</v>
      </c>
      <c r="E8" s="5">
        <v>96.48</v>
      </c>
      <c r="F8" s="5">
        <v>73.63</v>
      </c>
      <c r="G8" s="5">
        <v>46.38</v>
      </c>
      <c r="H8" s="5">
        <v>29.22</v>
      </c>
      <c r="I8" s="5">
        <v>18.41</v>
      </c>
    </row>
    <row r="9" spans="1:9" x14ac:dyDescent="0.3">
      <c r="A9" s="12" t="s">
        <v>209</v>
      </c>
      <c r="B9" s="26">
        <v>425.19</v>
      </c>
      <c r="C9" s="26">
        <v>267.85000000000002</v>
      </c>
      <c r="D9" s="26">
        <v>168.74</v>
      </c>
      <c r="E9" s="26">
        <v>106.3</v>
      </c>
      <c r="F9" s="26">
        <v>81.12</v>
      </c>
      <c r="G9" s="26">
        <v>51.1</v>
      </c>
      <c r="H9" s="26">
        <v>32.19</v>
      </c>
      <c r="I9" s="26">
        <v>20.28</v>
      </c>
    </row>
    <row r="10" spans="1:9" x14ac:dyDescent="0.3">
      <c r="A10" s="9" t="s">
        <v>210</v>
      </c>
      <c r="B10" s="5">
        <v>464.33</v>
      </c>
      <c r="C10" s="5">
        <v>292.51</v>
      </c>
      <c r="D10" s="5">
        <v>184.27</v>
      </c>
      <c r="E10" s="5">
        <v>116.08</v>
      </c>
      <c r="F10" s="5">
        <v>88.59</v>
      </c>
      <c r="G10" s="5">
        <v>55.81</v>
      </c>
      <c r="H10" s="5">
        <v>35.159999999999997</v>
      </c>
      <c r="I10" s="5">
        <v>22.15</v>
      </c>
    </row>
    <row r="11" spans="1:9" x14ac:dyDescent="0.3">
      <c r="A11" s="10" t="s">
        <v>211</v>
      </c>
      <c r="B11" s="7">
        <v>554.98</v>
      </c>
      <c r="C11" s="7">
        <v>349.62</v>
      </c>
      <c r="D11" s="7">
        <v>220.24</v>
      </c>
      <c r="E11" s="7">
        <v>138.75</v>
      </c>
      <c r="F11" s="7">
        <v>105.88</v>
      </c>
      <c r="G11" s="7">
        <v>66.7</v>
      </c>
      <c r="H11" s="7">
        <v>42.02</v>
      </c>
      <c r="I11" s="7">
        <v>26.47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Summary</vt:lpstr>
      <vt:lpstr>📊 Annual Max + Outlier</vt:lpstr>
      <vt:lpstr>📈 Gumbel EV-I</vt:lpstr>
      <vt:lpstr>📈 Lognormal</vt:lpstr>
      <vt:lpstr>✅ GoF &amp; Comparison</vt:lpstr>
      <vt:lpstr>🔍 Sensitivity</vt:lpstr>
      <vt:lpstr>🌧 IDF Analysis</vt:lpstr>
      <vt:lpstr>⛈ 100yr Design Storm</vt:lpstr>
      <vt:lpstr>📉 IDF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 Udupi</cp:lastModifiedBy>
  <dcterms:created xsi:type="dcterms:W3CDTF">2026-04-13T07:31:25Z</dcterms:created>
  <dcterms:modified xsi:type="dcterms:W3CDTF">2026-04-18T10:32:58Z</dcterms:modified>
</cp:coreProperties>
</file>
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is files\Downloads\"/>
    </mc:Choice>
  </mc:AlternateContent>
  <xr:revisionPtr revIDLastSave="0" documentId="13_ncr:1_{2E4F2034-1F97-4075-918F-A137448452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Annual_Max_Data" sheetId="2" r:id="rId2"/>
    <sheet name="Gumbel_Freq_Analysis" sheetId="3" r:id="rId3"/>
    <sheet name="IDF_Analysis" sheetId="4" r:id="rId4"/>
    <sheet name="100yr_Design_Storm" sheetId="5" r:id="rId5"/>
    <sheet name="IDF_Chart" sheetId="6" r:id="rId6"/>
  </sheets>
  <calcPr calcId="0"/>
</workbook>
</file>

<file path=xl/sharedStrings.xml><?xml version="1.0" encoding="utf-8"?>
<sst xmlns="http://schemas.openxmlformats.org/spreadsheetml/2006/main" count="122" uniqueCount="102">
  <si>
    <t>DESIGN FLOOD ESTIMATION – IDF ANALYSIS</t>
  </si>
  <si>
    <t>CWC Guidelines | Gumbel EV Type-I | Panvel Raingauge | Dam Break (100-yr)</t>
  </si>
  <si>
    <t>Project</t>
  </si>
  <si>
    <t>Minor Dam – Dam Break Analysis</t>
  </si>
  <si>
    <t>Raingauge Station</t>
  </si>
  <si>
    <t>PANVEL [102187319]</t>
  </si>
  <si>
    <t>Coordinates</t>
  </si>
  <si>
    <t>18.9833°N, 73.1167°E</t>
  </si>
  <si>
    <t>Data Period</t>
  </si>
  <si>
    <t>1992–2024  (N=31 yrs; 1997 &amp; 2006 missing)</t>
  </si>
  <si>
    <t>CWC Standard</t>
  </si>
  <si>
    <t>Manual on Flood Estimation (1989 Rev.), IS:11223</t>
  </si>
  <si>
    <t>Frequency Distribution</t>
  </si>
  <si>
    <t>Gumbel Extreme Value Type-I (EV1)</t>
  </si>
  <si>
    <t>Design Return Period</t>
  </si>
  <si>
    <t>100 Years – Minor Dam / Dam Break</t>
  </si>
  <si>
    <t>24-hr 100-yr Design Rainfall</t>
  </si>
  <si>
    <t>486.56 mm  ← USE THIS</t>
  </si>
  <si>
    <t>GUMBEL DISTRIBUTION PARAMETERS</t>
  </si>
  <si>
    <t>N</t>
  </si>
  <si>
    <t>x̄ (mm)</t>
  </si>
  <si>
    <t>S (mm)</t>
  </si>
  <si>
    <t>yₙ</t>
  </si>
  <si>
    <t>Sₙ</t>
  </si>
  <si>
    <t>KEY NOTES – CWC METHODOLOGY</t>
  </si>
  <si>
    <t>Note 1: CWC recommends Gumbel EV-I for rainfall frequency analysis (CWC Manual 1989)</t>
  </si>
  <si>
    <t>Note 2: IMD empirical formula  Pt = P₂₄ × (t/24)^(1/3)  used for sub-daily distribution</t>
  </si>
  <si>
    <t>Note 3: Alternating Block Method used for temporal distribution of design storm</t>
  </si>
  <si>
    <t>Note 4: For lateral inflow hydrograph – apply design rainfall to catchment with SCS-CN or RR model</t>
  </si>
  <si>
    <t>ANNUAL MAXIMUM DAILY RAINFALL – PANVEL STATION (1992–2024)</t>
  </si>
  <si>
    <t>Sr.No</t>
  </si>
  <si>
    <t>Year</t>
  </si>
  <si>
    <t>Annual Max
24-hr RF (mm)</t>
  </si>
  <si>
    <t>Rank (Desc)
m</t>
  </si>
  <si>
    <t>Plotting Pos
m/(N+1)</t>
  </si>
  <si>
    <t>Empirical T
(yr)</t>
  </si>
  <si>
    <t>Reduced
Variate yT</t>
  </si>
  <si>
    <t>DESCRIPTIVE STATISTICS</t>
  </si>
  <si>
    <t>Mean x̄ (mm)</t>
  </si>
  <si>
    <t>Std Dev S (mm)</t>
  </si>
  <si>
    <t>Coeff of Var</t>
  </si>
  <si>
    <t>Skewness</t>
  </si>
  <si>
    <t>Max Observed</t>
  </si>
  <si>
    <t>Min Observed</t>
  </si>
  <si>
    <t>GUMBEL FREQUENCY ANALYSIS (EV Type-I) – CWC METHODOLOGY</t>
  </si>
  <si>
    <t>GUMBEL PARAMETERS</t>
  </si>
  <si>
    <t>N (years)</t>
  </si>
  <si>
    <t>Reduced Mean yₙ</t>
  </si>
  <si>
    <t>Reduced Std Sₙ</t>
  </si>
  <si>
    <t>DESIGN RAINFALL – ALL RETURN PERIODS</t>
  </si>
  <si>
    <t>Return Period
T (yr)</t>
  </si>
  <si>
    <t>Exceedance
1/T</t>
  </si>
  <si>
    <t>Freq. Factor
K</t>
  </si>
  <si>
    <t>Design RF
XT (mm)</t>
  </si>
  <si>
    <t>95% CL
Lower (mm)</t>
  </si>
  <si>
    <t>95% CL
Upper (mm)</t>
  </si>
  <si>
    <t>Remark</t>
  </si>
  <si>
    <t>← DESIGN VALUE (100-yr)</t>
  </si>
  <si>
    <t>PMF candidate</t>
  </si>
  <si>
    <t>Formula: XT = x̄ + K·S  |  K = (yT−yₙ)/Sₙ  |  yT = −ln[−ln(1−1/T)]  |  95% CI by Chow's method</t>
  </si>
  <si>
    <t>IDF ANALYSIS – IMD EMPIRICAL REDUCTION FORMULA</t>
  </si>
  <si>
    <t>IMD Formula:  Pt = P₂₄ × (t/24)^(1/3)   where t = duration (hrs)</t>
  </si>
  <si>
    <t>RAINFALL DEPTH (mm)</t>
  </si>
  <si>
    <t>Duration</t>
  </si>
  <si>
    <t>T=2 yr</t>
  </si>
  <si>
    <t>T=5 yr</t>
  </si>
  <si>
    <t>T=10 yr</t>
  </si>
  <si>
    <t>T=25 yr</t>
  </si>
  <si>
    <t>T=50 yr</t>
  </si>
  <si>
    <t>T=100 yr</t>
  </si>
  <si>
    <t>T=200 yr</t>
  </si>
  <si>
    <t>T=1000 yr</t>
  </si>
  <si>
    <t>15 min</t>
  </si>
  <si>
    <t>30 min</t>
  </si>
  <si>
    <t>1 hr</t>
  </si>
  <si>
    <t>2 hr</t>
  </si>
  <si>
    <t>3 hr</t>
  </si>
  <si>
    <t>6 hr</t>
  </si>
  <si>
    <t>12 hr</t>
  </si>
  <si>
    <t>24 hr</t>
  </si>
  <si>
    <t>RAINFALL INTENSITY (mm/hr)</t>
  </si>
  <si>
    <t>100-YEAR DESIGN STORM – TEMPORAL DISTRIBUTION (ALTERNATING BLOCK METHOD)</t>
  </si>
  <si>
    <t>P₂₄,₁₀₀ = 486.56 mm  |  1-hr time steps  |  24-hr storm duration</t>
  </si>
  <si>
    <t>Duration t
(hr)</t>
  </si>
  <si>
    <t>Duration
(min)</t>
  </si>
  <si>
    <t>Factor
(t/24)^1/3</t>
  </si>
  <si>
    <t>Pt Depth
(mm)</t>
  </si>
  <si>
    <t>Intensity
(mm/hr)</t>
  </si>
  <si>
    <t>Incremental
RF (mm)</t>
  </si>
  <si>
    <t>ABM
Arranged (mm)</t>
  </si>
  <si>
    <t>ABM = Alternating Block Method (Chow, 1988) – standard for CWC design hydrograph derivation</t>
  </si>
  <si>
    <t>Peak block (168.68 mm) occurs at hour 12 of the 24-hr storm</t>
  </si>
  <si>
    <t>IDF CURVES – PANVEL STATION (Gumbel EV-I | CWC)</t>
  </si>
  <si>
    <t>Duration (min)</t>
  </si>
  <si>
    <t>T=2yr</t>
  </si>
  <si>
    <t>T=5yr</t>
  </si>
  <si>
    <t>T=10yr</t>
  </si>
  <si>
    <t>T=25yr</t>
  </si>
  <si>
    <t>T=50yr</t>
  </si>
  <si>
    <t>T=100yr</t>
  </si>
  <si>
    <t>T=200yr</t>
  </si>
  <si>
    <t>T=1000yr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</si>
</sst>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1F4E79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C00000"/>
      <name val="Arial"/>
    </font>
    <font>
      <b/>
      <sz val="10"/>
      <color rgb="FF843C0C"/>
      <name val="Arial"/>
    </font>
    <font>
      <sz val="10"/>
      <name val="Arial"/>
    </font>
    <font>
      <b/>
      <sz val="10"/>
      <color rgb="FF375623"/>
      <name val="Arial"/>
    </font>
    <font>
      <i/>
      <sz val="9"/>
      <name val="Arial"/>
    </font>
    <font>
      <b/>
      <sz val="12"/>
      <color rgb="FFFFFFFF"/>
      <name val="Arial"/>
    </font>
    <font>
      <b/>
      <sz val="10"/>
      <color rgb="FF1F4E79"/>
      <name val="Arial"/>
    </font>
    <font>
      <sz val="9"/>
      <color rgb="FF595959"/>
      <name val="Arial"/>
    </font>
    <font>
      <b/>
      <sz val="9"/>
      <color rgb="FFC00000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1"/>
      <color rgb="FFC00000"/>
      <name val="Arial"/>
    </font>
    <font>
      <b/>
      <sz val="10"/>
      <name val="Calibri"/>
    </font>
    <font>
      <b/>
      <i/>
      <sz val="16"/>
      <color rgb="FF595959"/>
      <name val="Courier New"/>
      <family val="3"/>
    </font>
    <font>
      <b/>
      <sz val="16"/>
      <color theme="1"/>
      <name val="Courier New"/>
      <family val="3"/>
    </font>
    <font>
      <b/>
      <sz val="10"/>
      <color rgb="FF843C0C"/>
      <name val="Arial"/>
      <family val="2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/>
    </xf>
    <xf numFmtId="2" fontId="7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2" fontId="3" fillId="6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7" fillId="0" borderId="0" xfId="0" applyFont="1"/>
    <xf numFmtId="0" fontId="4" fillId="5" borderId="1" xfId="0" applyFont="1" applyFill="1" applyBorder="1" applyAlignment="1">
      <alignment horizontal="left" vertical="center"/>
    </xf>
    <xf numFmtId="0" fontId="0" fillId="0" borderId="2" xfId="0" applyBorder="1"/>
    <xf numFmtId="0" fontId="6" fillId="7" borderId="1" xfId="0" applyFont="1" applyFill="1" applyBorder="1" applyAlignment="1">
      <alignment horizontal="center" vertical="center" wrapText="1"/>
    </xf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5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Alignment="1"/>
    <xf numFmtId="0" fontId="0" fillId="0" borderId="1" xfId="0" applyBorder="1"/>
    <xf numFmtId="0" fontId="20" fillId="7" borderId="1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DD curves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IDF_Analysis!$B$7</c:f>
              <c:strCache>
                <c:ptCount val="1"/>
                <c:pt idx="0">
                  <c:v>15 min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IDF_Analysis!$C$7:$J$7</c:f>
              <c:numCache>
                <c:formatCode>0.00</c:formatCode>
                <c:ptCount val="8"/>
                <c:pt idx="0">
                  <c:v>46.75</c:v>
                </c:pt>
                <c:pt idx="1">
                  <c:v>62.69</c:v>
                </c:pt>
                <c:pt idx="2">
                  <c:v>73.23</c:v>
                </c:pt>
                <c:pt idx="3">
                  <c:v>86.56</c:v>
                </c:pt>
                <c:pt idx="4">
                  <c:v>96.45</c:v>
                </c:pt>
                <c:pt idx="5">
                  <c:v>106.26</c:v>
                </c:pt>
                <c:pt idx="6">
                  <c:v>116.04</c:v>
                </c:pt>
                <c:pt idx="7">
                  <c:v>138.69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A-4B66-AB02-5A3C6FEA3394}"/>
            </c:ext>
          </c:extLst>
        </c:ser>
        <c:ser>
          <c:idx val="1"/>
          <c:order val="1"/>
          <c:tx>
            <c:strRef>
              <c:f>IDF_Analysis!$B$8</c:f>
              <c:strCache>
                <c:ptCount val="1"/>
                <c:pt idx="0">
                  <c:v>30 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IDF_Analysis!$C$8:$J$8</c:f>
              <c:numCache>
                <c:formatCode>0.00</c:formatCode>
                <c:ptCount val="8"/>
                <c:pt idx="0">
                  <c:v>58.91</c:v>
                </c:pt>
                <c:pt idx="1">
                  <c:v>78.98</c:v>
                </c:pt>
                <c:pt idx="2">
                  <c:v>92.27</c:v>
                </c:pt>
                <c:pt idx="3">
                  <c:v>109.06</c:v>
                </c:pt>
                <c:pt idx="4">
                  <c:v>121.52</c:v>
                </c:pt>
                <c:pt idx="5">
                  <c:v>133.88</c:v>
                </c:pt>
                <c:pt idx="6">
                  <c:v>146.19999999999999</c:v>
                </c:pt>
                <c:pt idx="7">
                  <c:v>174.74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0A-4B66-AB02-5A3C6FEA3394}"/>
            </c:ext>
          </c:extLst>
        </c:ser>
        <c:ser>
          <c:idx val="2"/>
          <c:order val="2"/>
          <c:tx>
            <c:strRef>
              <c:f>IDF_Analysis!$B$9</c:f>
              <c:strCache>
                <c:ptCount val="1"/>
                <c:pt idx="0">
                  <c:v>1 hr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IDF_Analysis!$C$9:$J$9</c:f>
              <c:numCache>
                <c:formatCode>0.00</c:formatCode>
                <c:ptCount val="8"/>
                <c:pt idx="0">
                  <c:v>74.22</c:v>
                </c:pt>
                <c:pt idx="1">
                  <c:v>99.51</c:v>
                </c:pt>
                <c:pt idx="2">
                  <c:v>116.25</c:v>
                </c:pt>
                <c:pt idx="3">
                  <c:v>137.41</c:v>
                </c:pt>
                <c:pt idx="4">
                  <c:v>153.1</c:v>
                </c:pt>
                <c:pt idx="5">
                  <c:v>168.68</c:v>
                </c:pt>
                <c:pt idx="6">
                  <c:v>184.2</c:v>
                </c:pt>
                <c:pt idx="7">
                  <c:v>220.16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0A-4B66-AB02-5A3C6FEA3394}"/>
            </c:ext>
          </c:extLst>
        </c:ser>
        <c:ser>
          <c:idx val="3"/>
          <c:order val="3"/>
          <c:tx>
            <c:strRef>
              <c:f>IDF_Analysis!$B$10</c:f>
              <c:strCache>
                <c:ptCount val="1"/>
                <c:pt idx="0">
                  <c:v>2 hr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IDF_Analysis!$C$10:$J$10</c:f>
              <c:numCache>
                <c:formatCode>0.00</c:formatCode>
                <c:ptCount val="8"/>
                <c:pt idx="0">
                  <c:v>93.51</c:v>
                </c:pt>
                <c:pt idx="1">
                  <c:v>125.37</c:v>
                </c:pt>
                <c:pt idx="2">
                  <c:v>146.47</c:v>
                </c:pt>
                <c:pt idx="3">
                  <c:v>173.12</c:v>
                </c:pt>
                <c:pt idx="4">
                  <c:v>192.9</c:v>
                </c:pt>
                <c:pt idx="5">
                  <c:v>212.52</c:v>
                </c:pt>
                <c:pt idx="6">
                  <c:v>232.08</c:v>
                </c:pt>
                <c:pt idx="7">
                  <c:v>277.38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0A-4B66-AB02-5A3C6FEA3394}"/>
            </c:ext>
          </c:extLst>
        </c:ser>
        <c:ser>
          <c:idx val="4"/>
          <c:order val="4"/>
          <c:tx>
            <c:strRef>
              <c:f>IDF_Analysis!$B$11</c:f>
              <c:strCache>
                <c:ptCount val="1"/>
                <c:pt idx="0">
                  <c:v>3 hr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IDF_Analysis!$C$11:$J$11</c:f>
              <c:numCache>
                <c:formatCode>0.00</c:formatCode>
                <c:ptCount val="8"/>
                <c:pt idx="0">
                  <c:v>107.04</c:v>
                </c:pt>
                <c:pt idx="1">
                  <c:v>143.51</c:v>
                </c:pt>
                <c:pt idx="2">
                  <c:v>167.66</c:v>
                </c:pt>
                <c:pt idx="3">
                  <c:v>198.17</c:v>
                </c:pt>
                <c:pt idx="4">
                  <c:v>220.81</c:v>
                </c:pt>
                <c:pt idx="5">
                  <c:v>243.28</c:v>
                </c:pt>
                <c:pt idx="6">
                  <c:v>265.66000000000003</c:v>
                </c:pt>
                <c:pt idx="7">
                  <c:v>317.52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0A-4B66-AB02-5A3C6FEA3394}"/>
            </c:ext>
          </c:extLst>
        </c:ser>
        <c:ser>
          <c:idx val="5"/>
          <c:order val="5"/>
          <c:tx>
            <c:strRef>
              <c:f>IDF_Analysis!$B$12</c:f>
              <c:strCache>
                <c:ptCount val="1"/>
                <c:pt idx="0">
                  <c:v>6 hr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IDF_Analysis!$C$12:$J$12</c:f>
              <c:numCache>
                <c:formatCode>0.00</c:formatCode>
                <c:ptCount val="8"/>
                <c:pt idx="0">
                  <c:v>134.86000000000001</c:v>
                </c:pt>
                <c:pt idx="1">
                  <c:v>180.82</c:v>
                </c:pt>
                <c:pt idx="2">
                  <c:v>211.24</c:v>
                </c:pt>
                <c:pt idx="3">
                  <c:v>249.68</c:v>
                </c:pt>
                <c:pt idx="4">
                  <c:v>278.2</c:v>
                </c:pt>
                <c:pt idx="5">
                  <c:v>306.51</c:v>
                </c:pt>
                <c:pt idx="6">
                  <c:v>334.72</c:v>
                </c:pt>
                <c:pt idx="7">
                  <c:v>400.05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0A-4B66-AB02-5A3C6FEA3394}"/>
            </c:ext>
          </c:extLst>
        </c:ser>
        <c:ser>
          <c:idx val="6"/>
          <c:order val="6"/>
          <c:tx>
            <c:strRef>
              <c:f>IDF_Analysis!$B$13</c:f>
              <c:strCache>
                <c:ptCount val="1"/>
                <c:pt idx="0">
                  <c:v>12 hr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IDF_Analysis!$C$13:$J$13</c:f>
              <c:numCache>
                <c:formatCode>0.00</c:formatCode>
                <c:ptCount val="8"/>
                <c:pt idx="0">
                  <c:v>169.92</c:v>
                </c:pt>
                <c:pt idx="1">
                  <c:v>227.81</c:v>
                </c:pt>
                <c:pt idx="2">
                  <c:v>266.14999999999998</c:v>
                </c:pt>
                <c:pt idx="3">
                  <c:v>314.58</c:v>
                </c:pt>
                <c:pt idx="4">
                  <c:v>350.51</c:v>
                </c:pt>
                <c:pt idx="5">
                  <c:v>386.18</c:v>
                </c:pt>
                <c:pt idx="6">
                  <c:v>421.72</c:v>
                </c:pt>
                <c:pt idx="7">
                  <c:v>504.03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0A-4B66-AB02-5A3C6FEA3394}"/>
            </c:ext>
          </c:extLst>
        </c:ser>
        <c:ser>
          <c:idx val="7"/>
          <c:order val="7"/>
          <c:tx>
            <c:strRef>
              <c:f>IDF_Analysis!$B$14</c:f>
              <c:strCache>
                <c:ptCount val="1"/>
                <c:pt idx="0">
                  <c:v>24 hr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IDF_Analysis!$C$5:$J$6</c:f>
              <c:strCache>
                <c:ptCount val="8"/>
                <c:pt idx="0">
                  <c:v>T=2 yr</c:v>
                </c:pt>
                <c:pt idx="1">
                  <c:v>T=5 yr</c:v>
                </c:pt>
                <c:pt idx="2">
                  <c:v>T=10 yr</c:v>
                </c:pt>
                <c:pt idx="3">
                  <c:v>T=25 yr</c:v>
                </c:pt>
                <c:pt idx="4">
                  <c:v>T=50 yr</c:v>
                </c:pt>
                <c:pt idx="5">
                  <c:v>T=100 yr</c:v>
                </c:pt>
                <c:pt idx="6">
                  <c:v>T=200 yr</c:v>
                </c:pt>
                <c:pt idx="7">
                  <c:v>T=1000 yr</c:v>
                </c:pt>
              </c:strCache>
            </c:strRef>
          </c:cat>
          <c:val>
            <c:numRef>
              <c:f>IDF_Analysis!$C$14:$J$14</c:f>
              <c:numCache>
                <c:formatCode>0.00</c:formatCode>
                <c:ptCount val="8"/>
                <c:pt idx="0">
                  <c:v>214.08</c:v>
                </c:pt>
                <c:pt idx="1">
                  <c:v>287.02999999999997</c:v>
                </c:pt>
                <c:pt idx="2">
                  <c:v>335.33</c:v>
                </c:pt>
                <c:pt idx="3">
                  <c:v>396.35</c:v>
                </c:pt>
                <c:pt idx="4">
                  <c:v>441.62</c:v>
                </c:pt>
                <c:pt idx="5">
                  <c:v>486.56</c:v>
                </c:pt>
                <c:pt idx="6">
                  <c:v>531.33000000000004</c:v>
                </c:pt>
                <c:pt idx="7">
                  <c:v>635.04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0A-4B66-AB02-5A3C6FEA3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290687"/>
        <c:axId val="1146535167"/>
      </c:lineChart>
      <c:catAx>
        <c:axId val="114829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535167"/>
        <c:crosses val="autoZero"/>
        <c:auto val="1"/>
        <c:lblAlgn val="ctr"/>
        <c:lblOffset val="100"/>
        <c:noMultiLvlLbl val="0"/>
      </c:catAx>
      <c:valAx>
        <c:axId val="114653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29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Design</a:t>
            </a:r>
            <a:r>
              <a:rPr lang="en-IN" baseline="0"/>
              <a:t> Storm Hyetograph Distribution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'100yr_Design_Storm'!$F$5</c:f>
              <c:strCache>
                <c:ptCount val="1"/>
                <c:pt idx="0">
                  <c:v>Intensity
(mm/hr)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'100yr_Design_Storm'!$F$6:$F$29</c:f>
              <c:numCache>
                <c:formatCode>0.00</c:formatCode>
                <c:ptCount val="24"/>
                <c:pt idx="0">
                  <c:v>168.68</c:v>
                </c:pt>
                <c:pt idx="1">
                  <c:v>106.26</c:v>
                </c:pt>
                <c:pt idx="2">
                  <c:v>81.09</c:v>
                </c:pt>
                <c:pt idx="3">
                  <c:v>66.94</c:v>
                </c:pt>
                <c:pt idx="4">
                  <c:v>57.69</c:v>
                </c:pt>
                <c:pt idx="5">
                  <c:v>51.09</c:v>
                </c:pt>
                <c:pt idx="6">
                  <c:v>46.1</c:v>
                </c:pt>
                <c:pt idx="7">
                  <c:v>42.17</c:v>
                </c:pt>
                <c:pt idx="8">
                  <c:v>38.99</c:v>
                </c:pt>
                <c:pt idx="9">
                  <c:v>36.340000000000003</c:v>
                </c:pt>
                <c:pt idx="10">
                  <c:v>34.1</c:v>
                </c:pt>
                <c:pt idx="11">
                  <c:v>32.18</c:v>
                </c:pt>
                <c:pt idx="12">
                  <c:v>30.51</c:v>
                </c:pt>
                <c:pt idx="13">
                  <c:v>29.04</c:v>
                </c:pt>
                <c:pt idx="14">
                  <c:v>27.73</c:v>
                </c:pt>
                <c:pt idx="15">
                  <c:v>26.57</c:v>
                </c:pt>
                <c:pt idx="16">
                  <c:v>25.51</c:v>
                </c:pt>
                <c:pt idx="17">
                  <c:v>24.56</c:v>
                </c:pt>
                <c:pt idx="18">
                  <c:v>23.69</c:v>
                </c:pt>
                <c:pt idx="19">
                  <c:v>22.89</c:v>
                </c:pt>
                <c:pt idx="20">
                  <c:v>22.16</c:v>
                </c:pt>
                <c:pt idx="21">
                  <c:v>21.48</c:v>
                </c:pt>
                <c:pt idx="22">
                  <c:v>20.86</c:v>
                </c:pt>
                <c:pt idx="23">
                  <c:v>20.27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4-40A2-8274-ED1C26C4F0EA}"/>
            </c:ext>
          </c:extLst>
        </c:ser>
        <c:ser>
          <c:idx val="1"/>
          <c:order val="1"/>
          <c:tx>
            <c:strRef>
              <c:f>'100yr_Design_Storm'!$G$5</c:f>
              <c:strCache>
                <c:ptCount val="1"/>
                <c:pt idx="0">
                  <c:v>Incremental
RF (mm)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'100yr_Design_Storm'!$G$6:$G$29</c:f>
              <c:numCache>
                <c:formatCode>0.00</c:formatCode>
                <c:ptCount val="24"/>
                <c:pt idx="0">
                  <c:v>6.85</c:v>
                </c:pt>
                <c:pt idx="1">
                  <c:v>168.68</c:v>
                </c:pt>
                <c:pt idx="2">
                  <c:v>43.84</c:v>
                </c:pt>
                <c:pt idx="3">
                  <c:v>30.76</c:v>
                </c:pt>
                <c:pt idx="4">
                  <c:v>24.48</c:v>
                </c:pt>
                <c:pt idx="5">
                  <c:v>20.68</c:v>
                </c:pt>
                <c:pt idx="6">
                  <c:v>18.07</c:v>
                </c:pt>
                <c:pt idx="7">
                  <c:v>16.16</c:v>
                </c:pt>
                <c:pt idx="8">
                  <c:v>14.69</c:v>
                </c:pt>
                <c:pt idx="9">
                  <c:v>13.51</c:v>
                </c:pt>
                <c:pt idx="10">
                  <c:v>12.54</c:v>
                </c:pt>
                <c:pt idx="11">
                  <c:v>11.73</c:v>
                </c:pt>
                <c:pt idx="12">
                  <c:v>11.04</c:v>
                </c:pt>
                <c:pt idx="13">
                  <c:v>10.44</c:v>
                </c:pt>
                <c:pt idx="14">
                  <c:v>9.92</c:v>
                </c:pt>
                <c:pt idx="15">
                  <c:v>9.4600000000000009</c:v>
                </c:pt>
                <c:pt idx="16">
                  <c:v>9.0500000000000007</c:v>
                </c:pt>
                <c:pt idx="17">
                  <c:v>8.68</c:v>
                </c:pt>
                <c:pt idx="18">
                  <c:v>8.34</c:v>
                </c:pt>
                <c:pt idx="19">
                  <c:v>8.0399999999999991</c:v>
                </c:pt>
                <c:pt idx="20">
                  <c:v>7.76</c:v>
                </c:pt>
                <c:pt idx="21">
                  <c:v>7.51</c:v>
                </c:pt>
                <c:pt idx="22">
                  <c:v>7.27</c:v>
                </c:pt>
                <c:pt idx="23">
                  <c:v>7.06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54-40A2-8274-ED1C26C4F0EA}"/>
            </c:ext>
          </c:extLst>
        </c:ser>
        <c:ser>
          <c:idx val="2"/>
          <c:order val="2"/>
          <c:tx>
            <c:strRef>
              <c:f>'100yr_Design_Storm'!$H$5</c:f>
              <c:strCache>
                <c:ptCount val="1"/>
                <c:pt idx="0">
                  <c:v>ABM
Arranged (mm)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'100yr_Design_Storm'!$H$6:$H$29</c:f>
              <c:numCache>
                <c:formatCode>0.00</c:formatCode>
                <c:ptCount val="24"/>
                <c:pt idx="0">
                  <c:v>6.85</c:v>
                </c:pt>
                <c:pt idx="1">
                  <c:v>7.06</c:v>
                </c:pt>
                <c:pt idx="2">
                  <c:v>7.51</c:v>
                </c:pt>
                <c:pt idx="3">
                  <c:v>8.0399999999999991</c:v>
                </c:pt>
                <c:pt idx="4">
                  <c:v>8.68</c:v>
                </c:pt>
                <c:pt idx="5">
                  <c:v>9.4600000000000009</c:v>
                </c:pt>
                <c:pt idx="6">
                  <c:v>10.44</c:v>
                </c:pt>
                <c:pt idx="7">
                  <c:v>11.73</c:v>
                </c:pt>
                <c:pt idx="8">
                  <c:v>13.51</c:v>
                </c:pt>
                <c:pt idx="9">
                  <c:v>16.16</c:v>
                </c:pt>
                <c:pt idx="10">
                  <c:v>20.68</c:v>
                </c:pt>
                <c:pt idx="11">
                  <c:v>30.76</c:v>
                </c:pt>
                <c:pt idx="12">
                  <c:v>168.68</c:v>
                </c:pt>
                <c:pt idx="13">
                  <c:v>43.84</c:v>
                </c:pt>
                <c:pt idx="14">
                  <c:v>24.48</c:v>
                </c:pt>
                <c:pt idx="15">
                  <c:v>18.07</c:v>
                </c:pt>
                <c:pt idx="16">
                  <c:v>14.69</c:v>
                </c:pt>
                <c:pt idx="17">
                  <c:v>12.54</c:v>
                </c:pt>
                <c:pt idx="18">
                  <c:v>11.04</c:v>
                </c:pt>
                <c:pt idx="19">
                  <c:v>9.92</c:v>
                </c:pt>
                <c:pt idx="20">
                  <c:v>9.0500000000000007</c:v>
                </c:pt>
                <c:pt idx="21">
                  <c:v>8.34</c:v>
                </c:pt>
                <c:pt idx="22">
                  <c:v>7.76</c:v>
                </c:pt>
                <c:pt idx="23">
                  <c:v>7.27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54-40A2-8274-ED1C26C4F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894639"/>
        <c:axId val="979895119"/>
      </c:areaChart>
      <c:catAx>
        <c:axId val="9798946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895119"/>
        <c:crosses val="autoZero"/>
        <c:auto val="1"/>
        <c:lblAlgn val="ctr"/>
        <c:lblOffset val="100"/>
        <c:noMultiLvlLbl val="0"/>
      </c:catAx>
      <c:valAx>
        <c:axId val="97989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8946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IDF</a:t>
            </a:r>
            <a:r>
              <a:rPr lang="en-IN" baseline="0"/>
              <a:t> chart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IDF_Chart!$B$4:$B$11</c:f>
              <c:numCache>
                <c:formatCode>General</c:formatCode>
                <c:ptCount val="8"/>
                <c:pt idx="0">
                  <c:v>187.02</c:v>
                </c:pt>
                <c:pt idx="1">
                  <c:v>250.74</c:v>
                </c:pt>
                <c:pt idx="2">
                  <c:v>292.93</c:v>
                </c:pt>
                <c:pt idx="3">
                  <c:v>346.24</c:v>
                </c:pt>
                <c:pt idx="4">
                  <c:v>385.79</c:v>
                </c:pt>
                <c:pt idx="5">
                  <c:v>425.05</c:v>
                </c:pt>
                <c:pt idx="6">
                  <c:v>464.16</c:v>
                </c:pt>
                <c:pt idx="7">
                  <c:v>554.76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7-4A0E-8399-B477AF0CEFA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IDF_Chart!$C$4:$C$11</c:f>
              <c:numCache>
                <c:formatCode>General</c:formatCode>
                <c:ptCount val="8"/>
                <c:pt idx="0">
                  <c:v>117.81</c:v>
                </c:pt>
                <c:pt idx="1">
                  <c:v>157.96</c:v>
                </c:pt>
                <c:pt idx="2">
                  <c:v>184.54</c:v>
                </c:pt>
                <c:pt idx="3">
                  <c:v>218.12</c:v>
                </c:pt>
                <c:pt idx="4">
                  <c:v>243.03</c:v>
                </c:pt>
                <c:pt idx="5">
                  <c:v>267.76</c:v>
                </c:pt>
                <c:pt idx="6">
                  <c:v>292.39999999999998</c:v>
                </c:pt>
                <c:pt idx="7">
                  <c:v>349.48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C7-4A0E-8399-B477AF0CEFA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IDF_Chart!$D$4:$D$11</c:f>
              <c:numCache>
                <c:formatCode>General</c:formatCode>
                <c:ptCount val="8"/>
                <c:pt idx="0">
                  <c:v>74.22</c:v>
                </c:pt>
                <c:pt idx="1">
                  <c:v>99.51</c:v>
                </c:pt>
                <c:pt idx="2">
                  <c:v>116.25</c:v>
                </c:pt>
                <c:pt idx="3">
                  <c:v>137.41</c:v>
                </c:pt>
                <c:pt idx="4">
                  <c:v>153.1</c:v>
                </c:pt>
                <c:pt idx="5">
                  <c:v>168.68</c:v>
                </c:pt>
                <c:pt idx="6">
                  <c:v>184.2</c:v>
                </c:pt>
                <c:pt idx="7">
                  <c:v>220.16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C7-4A0E-8399-B477AF0CEFA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IDF_Chart!$E$4:$E$11</c:f>
              <c:numCache>
                <c:formatCode>General</c:formatCode>
                <c:ptCount val="8"/>
                <c:pt idx="0">
                  <c:v>46.75</c:v>
                </c:pt>
                <c:pt idx="1">
                  <c:v>62.69</c:v>
                </c:pt>
                <c:pt idx="2">
                  <c:v>73.23</c:v>
                </c:pt>
                <c:pt idx="3">
                  <c:v>86.56</c:v>
                </c:pt>
                <c:pt idx="4">
                  <c:v>96.45</c:v>
                </c:pt>
                <c:pt idx="5">
                  <c:v>106.26</c:v>
                </c:pt>
                <c:pt idx="6">
                  <c:v>116.04</c:v>
                </c:pt>
                <c:pt idx="7">
                  <c:v>138.69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C7-4A0E-8399-B477AF0CEFA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IDF_Chart!$F$4:$F$11</c:f>
              <c:numCache>
                <c:formatCode>General</c:formatCode>
                <c:ptCount val="8"/>
                <c:pt idx="0">
                  <c:v>35.68</c:v>
                </c:pt>
                <c:pt idx="1">
                  <c:v>47.84</c:v>
                </c:pt>
                <c:pt idx="2">
                  <c:v>55.89</c:v>
                </c:pt>
                <c:pt idx="3">
                  <c:v>66.06</c:v>
                </c:pt>
                <c:pt idx="4">
                  <c:v>73.599999999999994</c:v>
                </c:pt>
                <c:pt idx="5">
                  <c:v>81.09</c:v>
                </c:pt>
                <c:pt idx="6">
                  <c:v>88.55</c:v>
                </c:pt>
                <c:pt idx="7">
                  <c:v>105.84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C7-4A0E-8399-B477AF0CEFA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IDF_Chart!$G$4:$G$11</c:f>
              <c:numCache>
                <c:formatCode>General</c:formatCode>
                <c:ptCount val="8"/>
                <c:pt idx="0">
                  <c:v>22.48</c:v>
                </c:pt>
                <c:pt idx="1">
                  <c:v>30.14</c:v>
                </c:pt>
                <c:pt idx="2">
                  <c:v>35.21</c:v>
                </c:pt>
                <c:pt idx="3">
                  <c:v>41.61</c:v>
                </c:pt>
                <c:pt idx="4">
                  <c:v>46.37</c:v>
                </c:pt>
                <c:pt idx="5">
                  <c:v>51.09</c:v>
                </c:pt>
                <c:pt idx="6">
                  <c:v>55.79</c:v>
                </c:pt>
                <c:pt idx="7">
                  <c:v>66.67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C7-4A0E-8399-B477AF0CEFA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IDF_Chart!$H$4:$H$11</c:f>
              <c:numCache>
                <c:formatCode>General</c:formatCode>
                <c:ptCount val="8"/>
                <c:pt idx="0">
                  <c:v>14.16</c:v>
                </c:pt>
                <c:pt idx="1">
                  <c:v>18.98</c:v>
                </c:pt>
                <c:pt idx="2">
                  <c:v>22.18</c:v>
                </c:pt>
                <c:pt idx="3">
                  <c:v>26.22</c:v>
                </c:pt>
                <c:pt idx="4">
                  <c:v>29.21</c:v>
                </c:pt>
                <c:pt idx="5">
                  <c:v>32.18</c:v>
                </c:pt>
                <c:pt idx="6">
                  <c:v>35.14</c:v>
                </c:pt>
                <c:pt idx="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C7-4A0E-8399-B477AF0CEFA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IDF_Chart!$A$4:$A$11</c:f>
              <c:strCache>
                <c:ptCount val="8"/>
                <c:pt idx="0">
                  <c:v>T=2yr</c:v>
                </c:pt>
                <c:pt idx="1">
                  <c:v>T=5yr</c:v>
                </c:pt>
                <c:pt idx="2">
                  <c:v>T=10yr</c:v>
                </c:pt>
                <c:pt idx="3">
                  <c:v>T=25yr</c:v>
                </c:pt>
                <c:pt idx="4">
                  <c:v>T=50yr</c:v>
                </c:pt>
                <c:pt idx="5">
                  <c:v>T=100yr</c:v>
                </c:pt>
                <c:pt idx="6">
                  <c:v>T=200yr</c:v>
                </c:pt>
                <c:pt idx="7">
                  <c:v>T=1000yr</c:v>
                </c:pt>
              </c:strCache>
            </c:strRef>
          </c:cat>
          <c:val>
            <c:numRef>
              <c:f>IDF_Chart!$I$4:$I$11</c:f>
              <c:numCache>
                <c:formatCode>General</c:formatCode>
                <c:ptCount val="8"/>
                <c:pt idx="0">
                  <c:v>8.92</c:v>
                </c:pt>
                <c:pt idx="1">
                  <c:v>11.96</c:v>
                </c:pt>
                <c:pt idx="2">
                  <c:v>13.97</c:v>
                </c:pt>
                <c:pt idx="3">
                  <c:v>16.510000000000002</c:v>
                </c:pt>
                <c:pt idx="4">
                  <c:v>18.399999999999999</c:v>
                </c:pt>
                <c:pt idx="5">
                  <c:v>20.27</c:v>
                </c:pt>
                <c:pt idx="6">
                  <c:v>22.14</c:v>
                </c:pt>
                <c:pt idx="7">
                  <c:v>26.46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C7-4A0E-8399-B477AF0CE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742527"/>
        <c:axId val="975741567"/>
      </c:lineChart>
      <c:catAx>
        <c:axId val="97574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41567"/>
        <c:crosses val="autoZero"/>
        <c:auto val="1"/>
        <c:lblAlgn val="ctr"/>
        <c:lblOffset val="100"/>
        <c:noMultiLvlLbl val="0"/>
      </c:catAx>
      <c:valAx>
        <c:axId val="97574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74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223345</xdr:colOff>
      <xdr:row>0</xdr:row>
      <xdr:rowOff>47297</xdr:rowOff>
    </xdr:from>
    <xdr:to>
      <xdr:col>17</xdr:col>
      <xdr:colOff>503621</xdr:colOff>
      <xdr:row>14</xdr:row>
      <xdr:rowOff>49049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0996D-0A72-D571-2A89-06C4D7BBA2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375227</xdr:colOff>
      <xdr:row>8</xdr:row>
      <xdr:rowOff>123536</xdr:rowOff>
    </xdr:from>
    <xdr:to>
      <xdr:col>18</xdr:col>
      <xdr:colOff>51954</xdr:colOff>
      <xdr:row>23</xdr:row>
      <xdr:rowOff>95826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9E205C-E5F6-B953-FF71-C79C01BA7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349771</xdr:colOff>
      <xdr:row>2</xdr:row>
      <xdr:rowOff>96187</xdr:rowOff>
    </xdr:from>
    <xdr:to>
      <xdr:col>18</xdr:col>
      <xdr:colOff>24984</xdr:colOff>
      <xdr:row>17</xdr:row>
      <xdr:rowOff>122419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09B13B-A002-D503-373B-232C24259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5"/>
  <sheetViews>
    <sheetView tabSelected="1" topLeftCell="A10" zoomScale="89" workbookViewId="0">
      <selection activeCell="B14" sqref="B14:D14"/>
    </sheetView>
  </sheetViews>
  <sheetFormatPr defaultRowHeight="14.4" x14ac:dyDescent="0.3"/>
  <cols>
    <col min="1" max="1" width="2" customWidth="1"/>
    <col min="2" max="2" width="38" customWidth="1"/>
    <col min="3" max="3" width="22" customWidth="1"/>
    <col min="4" max="4" width="32.44140625" customWidth="1"/>
  </cols>
  <sheetData>
    <row r="2" spans="2:4" ht="36" customHeight="1" x14ac:dyDescent="0.3">
      <c r="B2" s="25" t="s">
        <v>0</v>
      </c>
      <c r="C2" s="19"/>
      <c r="D2" s="19"/>
    </row>
    <row r="3" spans="2:4" ht="19.95" customHeight="1" x14ac:dyDescent="0.3">
      <c r="B3" s="23" t="s">
        <v>1</v>
      </c>
      <c r="C3" s="19"/>
      <c r="D3" s="19"/>
    </row>
    <row r="5" spans="2:4" x14ac:dyDescent="0.3">
      <c r="B5" s="1" t="s">
        <v>2</v>
      </c>
      <c r="C5" s="16" t="s">
        <v>3</v>
      </c>
      <c r="D5" s="17"/>
    </row>
    <row r="6" spans="2:4" x14ac:dyDescent="0.3">
      <c r="B6" s="1" t="s">
        <v>4</v>
      </c>
      <c r="C6" s="16" t="s">
        <v>5</v>
      </c>
      <c r="D6" s="17"/>
    </row>
    <row r="7" spans="2:4" x14ac:dyDescent="0.3">
      <c r="B7" s="1" t="s">
        <v>6</v>
      </c>
      <c r="C7" s="16" t="s">
        <v>7</v>
      </c>
      <c r="D7" s="17"/>
    </row>
    <row r="8" spans="2:4" x14ac:dyDescent="0.3">
      <c r="B8" s="1" t="s">
        <v>8</v>
      </c>
      <c r="C8" s="16" t="s">
        <v>9</v>
      </c>
      <c r="D8" s="17"/>
    </row>
    <row r="9" spans="2:4" x14ac:dyDescent="0.3">
      <c r="B9" s="1" t="s">
        <v>10</v>
      </c>
      <c r="C9" s="16" t="s">
        <v>11</v>
      </c>
      <c r="D9" s="17"/>
    </row>
    <row r="10" spans="2:4" x14ac:dyDescent="0.3">
      <c r="B10" s="1" t="s">
        <v>12</v>
      </c>
      <c r="C10" s="16" t="s">
        <v>13</v>
      </c>
      <c r="D10" s="17"/>
    </row>
    <row r="11" spans="2:4" x14ac:dyDescent="0.3">
      <c r="B11" s="1" t="s">
        <v>14</v>
      </c>
      <c r="C11" s="16" t="s">
        <v>15</v>
      </c>
      <c r="D11" s="17"/>
    </row>
    <row r="12" spans="2:4" x14ac:dyDescent="0.3">
      <c r="B12" s="1" t="s">
        <v>16</v>
      </c>
      <c r="C12" s="22" t="s">
        <v>17</v>
      </c>
      <c r="D12" s="17"/>
    </row>
    <row r="14" spans="2:4" x14ac:dyDescent="0.3">
      <c r="B14" s="18" t="s">
        <v>18</v>
      </c>
      <c r="C14" s="35"/>
      <c r="D14" s="35"/>
    </row>
    <row r="15" spans="2:4" x14ac:dyDescent="0.3">
      <c r="B15" s="1" t="s">
        <v>19</v>
      </c>
      <c r="C15" s="20">
        <v>31</v>
      </c>
      <c r="D15" s="17"/>
    </row>
    <row r="16" spans="2:4" x14ac:dyDescent="0.3">
      <c r="B16" s="1" t="s">
        <v>20</v>
      </c>
      <c r="C16" s="20">
        <v>225.06</v>
      </c>
      <c r="D16" s="17"/>
    </row>
    <row r="17" spans="2:4" x14ac:dyDescent="0.3">
      <c r="B17" s="1" t="s">
        <v>21</v>
      </c>
      <c r="C17" s="20">
        <v>71.84</v>
      </c>
      <c r="D17" s="17"/>
    </row>
    <row r="18" spans="2:4" x14ac:dyDescent="0.3">
      <c r="B18" s="1" t="s">
        <v>22</v>
      </c>
      <c r="C18" s="20">
        <v>0.53710000000000002</v>
      </c>
      <c r="D18" s="17"/>
    </row>
    <row r="19" spans="2:4" x14ac:dyDescent="0.3">
      <c r="B19" s="1" t="s">
        <v>23</v>
      </c>
      <c r="C19" s="20">
        <v>1.1163000000000001</v>
      </c>
      <c r="D19" s="17"/>
    </row>
    <row r="21" spans="2:4" x14ac:dyDescent="0.3">
      <c r="B21" s="24" t="s">
        <v>24</v>
      </c>
      <c r="C21" s="19"/>
      <c r="D21" s="19"/>
    </row>
    <row r="22" spans="2:4" x14ac:dyDescent="0.3">
      <c r="B22" s="21" t="s">
        <v>25</v>
      </c>
      <c r="C22" s="19"/>
      <c r="D22" s="19"/>
    </row>
    <row r="23" spans="2:4" x14ac:dyDescent="0.3">
      <c r="B23" s="21" t="s">
        <v>26</v>
      </c>
      <c r="C23" s="19"/>
      <c r="D23" s="19"/>
    </row>
    <row r="24" spans="2:4" x14ac:dyDescent="0.3">
      <c r="B24" s="21" t="s">
        <v>27</v>
      </c>
      <c r="C24" s="19"/>
      <c r="D24" s="19"/>
    </row>
    <row r="25" spans="2:4" x14ac:dyDescent="0.3">
      <c r="B25" s="21" t="s">
        <v>28</v>
      </c>
      <c r="C25" s="19"/>
      <c r="D25" s="19"/>
    </row>
  </sheetData>
  <mergeCells count="21">
    <mergeCell ref="B2:D2"/>
    <mergeCell ref="B3:D3"/>
    <mergeCell ref="C7:D7"/>
    <mergeCell ref="B22:D22"/>
    <mergeCell ref="C19:D19"/>
    <mergeCell ref="B21:D21"/>
    <mergeCell ref="C18:D18"/>
    <mergeCell ref="B24:D24"/>
    <mergeCell ref="C12:D12"/>
    <mergeCell ref="C11:D11"/>
    <mergeCell ref="C17:D17"/>
    <mergeCell ref="B25:D25"/>
    <mergeCell ref="C6:D6"/>
    <mergeCell ref="B14:D14"/>
    <mergeCell ref="C15:D15"/>
    <mergeCell ref="B23:D23"/>
    <mergeCell ref="C5:D5"/>
    <mergeCell ref="C10:D10"/>
    <mergeCell ref="C16:D16"/>
    <mergeCell ref="C9:D9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4"/>
  <sheetViews>
    <sheetView zoomScale="70" zoomScaleNormal="70" workbookViewId="0">
      <selection activeCell="J4" sqref="J4:K4"/>
    </sheetView>
  </sheetViews>
  <sheetFormatPr defaultRowHeight="14.4" x14ac:dyDescent="0.3"/>
  <cols>
    <col min="1" max="1" width="3" customWidth="1"/>
    <col min="2" max="2" width="20" customWidth="1"/>
    <col min="3" max="3" width="14" customWidth="1"/>
    <col min="4" max="5" width="12" customWidth="1"/>
    <col min="6" max="6" width="14" customWidth="1"/>
    <col min="7" max="8" width="16" customWidth="1"/>
    <col min="10" max="10" width="16.5546875" customWidth="1"/>
    <col min="11" max="11" width="17.77734375" customWidth="1"/>
  </cols>
  <sheetData>
    <row r="1" spans="2:13" ht="28.05" customHeight="1" x14ac:dyDescent="0.3">
      <c r="B1" s="26" t="s">
        <v>29</v>
      </c>
      <c r="C1" s="19"/>
      <c r="D1" s="19"/>
      <c r="E1" s="19"/>
      <c r="F1" s="19"/>
      <c r="G1" s="19"/>
      <c r="H1" s="19"/>
    </row>
    <row r="3" spans="2:13" ht="39.6" x14ac:dyDescent="0.3"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</row>
    <row r="4" spans="2:13" x14ac:dyDescent="0.3">
      <c r="B4" s="4">
        <v>1</v>
      </c>
      <c r="C4" s="4">
        <v>2005</v>
      </c>
      <c r="D4" s="4">
        <v>473.5</v>
      </c>
      <c r="E4" s="4">
        <v>1</v>
      </c>
      <c r="F4" s="4">
        <v>3.1199999999999999E-2</v>
      </c>
      <c r="G4" s="4">
        <v>32</v>
      </c>
      <c r="H4" s="4">
        <v>-1.2428999999999999</v>
      </c>
      <c r="J4" s="36" t="s">
        <v>37</v>
      </c>
      <c r="K4" s="18"/>
      <c r="L4" s="34"/>
      <c r="M4" s="34"/>
    </row>
    <row r="5" spans="2:13" x14ac:dyDescent="0.3">
      <c r="B5" s="5">
        <v>2</v>
      </c>
      <c r="C5" s="5">
        <v>2011</v>
      </c>
      <c r="D5" s="5">
        <v>315</v>
      </c>
      <c r="E5" s="5">
        <v>2</v>
      </c>
      <c r="F5" s="5">
        <v>6.25E-2</v>
      </c>
      <c r="G5" s="5">
        <v>16</v>
      </c>
      <c r="H5" s="5">
        <v>-1.0198</v>
      </c>
      <c r="J5" s="1" t="s">
        <v>38</v>
      </c>
      <c r="K5" s="6">
        <v>225.06</v>
      </c>
    </row>
    <row r="6" spans="2:13" x14ac:dyDescent="0.3">
      <c r="B6" s="4">
        <v>3</v>
      </c>
      <c r="C6" s="4">
        <v>2003</v>
      </c>
      <c r="D6" s="4">
        <v>314</v>
      </c>
      <c r="E6" s="4">
        <v>3</v>
      </c>
      <c r="F6" s="4">
        <v>9.3799999999999994E-2</v>
      </c>
      <c r="G6" s="4">
        <v>10.67</v>
      </c>
      <c r="H6" s="4">
        <v>-0.86170000000000002</v>
      </c>
      <c r="J6" s="1" t="s">
        <v>39</v>
      </c>
      <c r="K6" s="6">
        <v>71.84</v>
      </c>
    </row>
    <row r="7" spans="2:13" x14ac:dyDescent="0.3">
      <c r="B7" s="5">
        <v>4</v>
      </c>
      <c r="C7" s="5">
        <v>2020</v>
      </c>
      <c r="D7" s="5">
        <v>306.8</v>
      </c>
      <c r="E7" s="5">
        <v>4</v>
      </c>
      <c r="F7" s="5">
        <v>0.125</v>
      </c>
      <c r="G7" s="5">
        <v>8</v>
      </c>
      <c r="H7" s="5">
        <v>-0.73209999999999997</v>
      </c>
      <c r="J7" s="1" t="s">
        <v>40</v>
      </c>
      <c r="K7" s="6">
        <v>0.31900000000000001</v>
      </c>
    </row>
    <row r="8" spans="2:13" x14ac:dyDescent="0.3">
      <c r="B8" s="4">
        <v>5</v>
      </c>
      <c r="C8" s="4">
        <v>2023</v>
      </c>
      <c r="D8" s="4">
        <v>290</v>
      </c>
      <c r="E8" s="4">
        <v>5</v>
      </c>
      <c r="F8" s="4">
        <v>0.15620000000000001</v>
      </c>
      <c r="G8" s="4">
        <v>6.4</v>
      </c>
      <c r="H8" s="4">
        <v>-0.61860000000000004</v>
      </c>
      <c r="J8" s="1" t="s">
        <v>41</v>
      </c>
      <c r="K8" s="6">
        <v>1.357</v>
      </c>
    </row>
    <row r="9" spans="2:13" x14ac:dyDescent="0.3">
      <c r="B9" s="5">
        <v>6</v>
      </c>
      <c r="C9" s="5">
        <v>2021</v>
      </c>
      <c r="D9" s="5">
        <v>284.2</v>
      </c>
      <c r="E9" s="5">
        <v>6</v>
      </c>
      <c r="F9" s="5">
        <v>0.1875</v>
      </c>
      <c r="G9" s="5">
        <v>5.33</v>
      </c>
      <c r="H9" s="5">
        <v>-0.51519999999999999</v>
      </c>
      <c r="J9" s="1" t="s">
        <v>42</v>
      </c>
      <c r="K9" s="6">
        <v>473.5</v>
      </c>
    </row>
    <row r="10" spans="2:13" x14ac:dyDescent="0.3">
      <c r="B10" s="4">
        <v>7</v>
      </c>
      <c r="C10" s="4">
        <v>2001</v>
      </c>
      <c r="D10" s="4">
        <v>276</v>
      </c>
      <c r="E10" s="4">
        <v>7</v>
      </c>
      <c r="F10" s="4">
        <v>0.21879999999999999</v>
      </c>
      <c r="G10" s="4">
        <v>4.57</v>
      </c>
      <c r="H10" s="4">
        <v>-0.41860000000000003</v>
      </c>
      <c r="J10" s="1" t="s">
        <v>43</v>
      </c>
      <c r="K10" s="6">
        <v>118.6</v>
      </c>
    </row>
    <row r="11" spans="2:13" x14ac:dyDescent="0.3">
      <c r="B11" s="5">
        <v>8</v>
      </c>
      <c r="C11" s="5">
        <v>2019</v>
      </c>
      <c r="D11" s="5">
        <v>271.8</v>
      </c>
      <c r="E11" s="5">
        <v>8</v>
      </c>
      <c r="F11" s="5">
        <v>0.25</v>
      </c>
      <c r="G11" s="5">
        <v>4</v>
      </c>
      <c r="H11" s="5">
        <v>-0.3266</v>
      </c>
    </row>
    <row r="12" spans="2:13" x14ac:dyDescent="0.3">
      <c r="B12" s="4">
        <v>9</v>
      </c>
      <c r="C12" s="4">
        <v>2013</v>
      </c>
      <c r="D12" s="4">
        <v>256</v>
      </c>
      <c r="E12" s="4">
        <v>9</v>
      </c>
      <c r="F12" s="4">
        <v>0.28120000000000001</v>
      </c>
      <c r="G12" s="4">
        <v>3.56</v>
      </c>
      <c r="H12" s="4">
        <v>-0.23780000000000001</v>
      </c>
    </row>
    <row r="13" spans="2:13" x14ac:dyDescent="0.3">
      <c r="B13" s="5">
        <v>10</v>
      </c>
      <c r="C13" s="5">
        <v>2017</v>
      </c>
      <c r="D13" s="5">
        <v>254</v>
      </c>
      <c r="E13" s="5">
        <v>10</v>
      </c>
      <c r="F13" s="5">
        <v>0.3125</v>
      </c>
      <c r="G13" s="5">
        <v>3.2</v>
      </c>
      <c r="H13" s="5">
        <v>-0.15110000000000001</v>
      </c>
    </row>
    <row r="14" spans="2:13" x14ac:dyDescent="0.3">
      <c r="B14" s="4">
        <v>11</v>
      </c>
      <c r="C14" s="4">
        <v>2000</v>
      </c>
      <c r="D14" s="4">
        <v>249</v>
      </c>
      <c r="E14" s="4">
        <v>11</v>
      </c>
      <c r="F14" s="4">
        <v>0.34379999999999999</v>
      </c>
      <c r="G14" s="4">
        <v>2.91</v>
      </c>
      <c r="H14" s="4">
        <v>-6.5600000000000006E-2</v>
      </c>
    </row>
    <row r="15" spans="2:13" x14ac:dyDescent="0.3">
      <c r="B15" s="5">
        <v>12</v>
      </c>
      <c r="C15" s="5">
        <v>2007</v>
      </c>
      <c r="D15" s="5">
        <v>245</v>
      </c>
      <c r="E15" s="5">
        <v>12</v>
      </c>
      <c r="F15" s="5">
        <v>0.375</v>
      </c>
      <c r="G15" s="5">
        <v>2.67</v>
      </c>
      <c r="H15" s="5">
        <v>1.9400000000000001E-2</v>
      </c>
    </row>
    <row r="16" spans="2:13" x14ac:dyDescent="0.3">
      <c r="B16" s="4">
        <v>13</v>
      </c>
      <c r="C16" s="4">
        <v>1998</v>
      </c>
      <c r="D16" s="4">
        <v>241.6</v>
      </c>
      <c r="E16" s="4">
        <v>13</v>
      </c>
      <c r="F16" s="4">
        <v>0.40620000000000001</v>
      </c>
      <c r="G16" s="4">
        <v>2.46</v>
      </c>
      <c r="H16" s="4">
        <v>0.1045</v>
      </c>
    </row>
    <row r="17" spans="2:8" x14ac:dyDescent="0.3">
      <c r="B17" s="5">
        <v>14</v>
      </c>
      <c r="C17" s="5">
        <v>2009</v>
      </c>
      <c r="D17" s="5">
        <v>231.6</v>
      </c>
      <c r="E17" s="5">
        <v>14</v>
      </c>
      <c r="F17" s="5">
        <v>0.4375</v>
      </c>
      <c r="G17" s="5">
        <v>2.29</v>
      </c>
      <c r="H17" s="5">
        <v>0.1903</v>
      </c>
    </row>
    <row r="18" spans="2:8" x14ac:dyDescent="0.3">
      <c r="B18" s="4">
        <v>15</v>
      </c>
      <c r="C18" s="4">
        <v>2004</v>
      </c>
      <c r="D18" s="4">
        <v>216.4</v>
      </c>
      <c r="E18" s="4">
        <v>15</v>
      </c>
      <c r="F18" s="4">
        <v>0.46879999999999999</v>
      </c>
      <c r="G18" s="4">
        <v>2.13</v>
      </c>
      <c r="H18" s="4">
        <v>0.27750000000000002</v>
      </c>
    </row>
    <row r="19" spans="2:8" x14ac:dyDescent="0.3">
      <c r="B19" s="5">
        <v>16</v>
      </c>
      <c r="C19" s="5">
        <v>1996</v>
      </c>
      <c r="D19" s="5">
        <v>209.2</v>
      </c>
      <c r="E19" s="5">
        <v>16</v>
      </c>
      <c r="F19" s="5">
        <v>0.5</v>
      </c>
      <c r="G19" s="5">
        <v>2</v>
      </c>
      <c r="H19" s="5">
        <v>0.36649999999999999</v>
      </c>
    </row>
    <row r="20" spans="2:8" x14ac:dyDescent="0.3">
      <c r="B20" s="4">
        <v>17</v>
      </c>
      <c r="C20" s="4">
        <v>1994</v>
      </c>
      <c r="D20" s="4">
        <v>207.6</v>
      </c>
      <c r="E20" s="4">
        <v>17</v>
      </c>
      <c r="F20" s="4">
        <v>0.53120000000000001</v>
      </c>
      <c r="G20" s="4">
        <v>1.88</v>
      </c>
      <c r="H20" s="4">
        <v>0.45800000000000002</v>
      </c>
    </row>
    <row r="21" spans="2:8" x14ac:dyDescent="0.3">
      <c r="B21" s="5">
        <v>18</v>
      </c>
      <c r="C21" s="5">
        <v>1992</v>
      </c>
      <c r="D21" s="5">
        <v>207.4</v>
      </c>
      <c r="E21" s="5">
        <v>18</v>
      </c>
      <c r="F21" s="5">
        <v>0.5625</v>
      </c>
      <c r="G21" s="5">
        <v>1.78</v>
      </c>
      <c r="H21" s="5">
        <v>0.55279999999999996</v>
      </c>
    </row>
    <row r="22" spans="2:8" x14ac:dyDescent="0.3">
      <c r="B22" s="4">
        <v>19</v>
      </c>
      <c r="C22" s="4">
        <v>2016</v>
      </c>
      <c r="D22" s="4">
        <v>193.2</v>
      </c>
      <c r="E22" s="4">
        <v>19</v>
      </c>
      <c r="F22" s="4">
        <v>0.59379999999999999</v>
      </c>
      <c r="G22" s="4">
        <v>1.68</v>
      </c>
      <c r="H22" s="4">
        <v>0.65139999999999998</v>
      </c>
    </row>
    <row r="23" spans="2:8" x14ac:dyDescent="0.3">
      <c r="B23" s="5">
        <v>20</v>
      </c>
      <c r="C23" s="5">
        <v>2002</v>
      </c>
      <c r="D23" s="5">
        <v>189</v>
      </c>
      <c r="E23" s="5">
        <v>20</v>
      </c>
      <c r="F23" s="5">
        <v>0.625</v>
      </c>
      <c r="G23" s="5">
        <v>1.6</v>
      </c>
      <c r="H23" s="5">
        <v>0.755</v>
      </c>
    </row>
    <row r="24" spans="2:8" x14ac:dyDescent="0.3">
      <c r="B24" s="4">
        <v>21</v>
      </c>
      <c r="C24" s="4">
        <v>2018</v>
      </c>
      <c r="D24" s="4">
        <v>180</v>
      </c>
      <c r="E24" s="4">
        <v>21</v>
      </c>
      <c r="F24" s="4">
        <v>0.65620000000000001</v>
      </c>
      <c r="G24" s="4">
        <v>1.52</v>
      </c>
      <c r="H24" s="4">
        <v>0.86460000000000004</v>
      </c>
    </row>
    <row r="25" spans="2:8" x14ac:dyDescent="0.3">
      <c r="B25" s="5">
        <v>22</v>
      </c>
      <c r="C25" s="5">
        <v>2008</v>
      </c>
      <c r="D25" s="5">
        <v>176.2</v>
      </c>
      <c r="E25" s="5">
        <v>22</v>
      </c>
      <c r="F25" s="5">
        <v>0.6875</v>
      </c>
      <c r="G25" s="5">
        <v>1.45</v>
      </c>
      <c r="H25" s="5">
        <v>0.98160000000000003</v>
      </c>
    </row>
    <row r="26" spans="2:8" x14ac:dyDescent="0.3">
      <c r="B26" s="4">
        <v>23</v>
      </c>
      <c r="C26" s="4">
        <v>2014</v>
      </c>
      <c r="D26" s="4">
        <v>172.6</v>
      </c>
      <c r="E26" s="4">
        <v>23</v>
      </c>
      <c r="F26" s="4">
        <v>0.71879999999999999</v>
      </c>
      <c r="G26" s="4">
        <v>1.39</v>
      </c>
      <c r="H26" s="4">
        <v>1.1079000000000001</v>
      </c>
    </row>
    <row r="27" spans="2:8" x14ac:dyDescent="0.3">
      <c r="B27" s="5">
        <v>24</v>
      </c>
      <c r="C27" s="5">
        <v>2022</v>
      </c>
      <c r="D27" s="5">
        <v>172.2</v>
      </c>
      <c r="E27" s="5">
        <v>24</v>
      </c>
      <c r="F27" s="5">
        <v>0.75</v>
      </c>
      <c r="G27" s="5">
        <v>1.33</v>
      </c>
      <c r="H27" s="5">
        <v>1.2459</v>
      </c>
    </row>
    <row r="28" spans="2:8" x14ac:dyDescent="0.3">
      <c r="B28" s="4">
        <v>25</v>
      </c>
      <c r="C28" s="4">
        <v>2012</v>
      </c>
      <c r="D28" s="4">
        <v>163</v>
      </c>
      <c r="E28" s="4">
        <v>25</v>
      </c>
      <c r="F28" s="4">
        <v>0.78120000000000001</v>
      </c>
      <c r="G28" s="4">
        <v>1.28</v>
      </c>
      <c r="H28" s="4">
        <v>1.3989</v>
      </c>
    </row>
    <row r="29" spans="2:8" x14ac:dyDescent="0.3">
      <c r="B29" s="5">
        <v>26</v>
      </c>
      <c r="C29" s="5">
        <v>2010</v>
      </c>
      <c r="D29" s="5">
        <v>162.80000000000001</v>
      </c>
      <c r="E29" s="5">
        <v>26</v>
      </c>
      <c r="F29" s="5">
        <v>0.8125</v>
      </c>
      <c r="G29" s="5">
        <v>1.23</v>
      </c>
      <c r="H29" s="5">
        <v>1.5720000000000001</v>
      </c>
    </row>
    <row r="30" spans="2:8" x14ac:dyDescent="0.3">
      <c r="B30" s="4">
        <v>27</v>
      </c>
      <c r="C30" s="4">
        <v>2024</v>
      </c>
      <c r="D30" s="4">
        <v>155</v>
      </c>
      <c r="E30" s="4">
        <v>27</v>
      </c>
      <c r="F30" s="4">
        <v>0.84379999999999999</v>
      </c>
      <c r="G30" s="4">
        <v>1.19</v>
      </c>
      <c r="H30" s="4">
        <v>1.7726</v>
      </c>
    </row>
    <row r="31" spans="2:8" x14ac:dyDescent="0.3">
      <c r="B31" s="5">
        <v>28</v>
      </c>
      <c r="C31" s="5">
        <v>2015</v>
      </c>
      <c r="D31" s="5">
        <v>152</v>
      </c>
      <c r="E31" s="5">
        <v>28</v>
      </c>
      <c r="F31" s="5">
        <v>0.875</v>
      </c>
      <c r="G31" s="5">
        <v>1.1399999999999999</v>
      </c>
      <c r="H31" s="5">
        <v>2.0133999999999999</v>
      </c>
    </row>
    <row r="32" spans="2:8" x14ac:dyDescent="0.3">
      <c r="B32" s="4">
        <v>29</v>
      </c>
      <c r="C32" s="4">
        <v>1999</v>
      </c>
      <c r="D32" s="4">
        <v>150.19999999999999</v>
      </c>
      <c r="E32" s="4">
        <v>29</v>
      </c>
      <c r="F32" s="4">
        <v>0.90620000000000001</v>
      </c>
      <c r="G32" s="4">
        <v>1.1000000000000001</v>
      </c>
      <c r="H32" s="4">
        <v>2.3182999999999998</v>
      </c>
    </row>
    <row r="33" spans="2:8" x14ac:dyDescent="0.3">
      <c r="B33" s="5">
        <v>30</v>
      </c>
      <c r="C33" s="5">
        <v>1993</v>
      </c>
      <c r="D33" s="5">
        <v>143</v>
      </c>
      <c r="E33" s="5">
        <v>30</v>
      </c>
      <c r="F33" s="5">
        <v>0.9375</v>
      </c>
      <c r="G33" s="5">
        <v>1.07</v>
      </c>
      <c r="H33" s="5">
        <v>2.7404999999999999</v>
      </c>
    </row>
    <row r="34" spans="2:8" x14ac:dyDescent="0.3">
      <c r="B34" s="4">
        <v>31</v>
      </c>
      <c r="C34" s="4">
        <v>1995</v>
      </c>
      <c r="D34" s="4">
        <v>118.6</v>
      </c>
      <c r="E34" s="4">
        <v>31</v>
      </c>
      <c r="F34" s="4">
        <v>0.96879999999999999</v>
      </c>
      <c r="G34" s="4">
        <v>1.03</v>
      </c>
      <c r="H34" s="4">
        <v>3.4499</v>
      </c>
    </row>
  </sheetData>
  <mergeCells count="2">
    <mergeCell ref="B1:H1"/>
    <mergeCell ref="J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2"/>
  <sheetViews>
    <sheetView topLeftCell="A11" zoomScale="82" workbookViewId="0">
      <selection activeCell="B3" sqref="B3:C3"/>
    </sheetView>
  </sheetViews>
  <sheetFormatPr defaultRowHeight="14.4" x14ac:dyDescent="0.3"/>
  <cols>
    <col min="1" max="1" width="3" customWidth="1"/>
    <col min="2" max="2" width="19.88671875" customWidth="1"/>
    <col min="3" max="3" width="13" customWidth="1"/>
    <col min="4" max="5" width="12" customWidth="1"/>
    <col min="6" max="8" width="16" customWidth="1"/>
    <col min="9" max="9" width="22.21875" customWidth="1"/>
  </cols>
  <sheetData>
    <row r="1" spans="2:9" ht="28.05" customHeight="1" x14ac:dyDescent="0.3">
      <c r="B1" s="26" t="s">
        <v>44</v>
      </c>
      <c r="C1" s="19"/>
      <c r="D1" s="19"/>
      <c r="E1" s="19"/>
      <c r="F1" s="19"/>
      <c r="G1" s="19"/>
      <c r="H1" s="19"/>
      <c r="I1" s="19"/>
    </row>
    <row r="3" spans="2:9" ht="14.4" customHeight="1" x14ac:dyDescent="0.3">
      <c r="B3" s="18" t="s">
        <v>45</v>
      </c>
      <c r="C3" s="18"/>
      <c r="D3" s="34"/>
      <c r="E3" s="34"/>
    </row>
    <row r="4" spans="2:9" x14ac:dyDescent="0.3">
      <c r="B4" s="1" t="s">
        <v>46</v>
      </c>
      <c r="C4" s="7">
        <v>31</v>
      </c>
    </row>
    <row r="5" spans="2:9" x14ac:dyDescent="0.3">
      <c r="B5" s="1" t="s">
        <v>38</v>
      </c>
      <c r="C5" s="7">
        <v>225.06</v>
      </c>
    </row>
    <row r="6" spans="2:9" x14ac:dyDescent="0.3">
      <c r="B6" s="1" t="s">
        <v>39</v>
      </c>
      <c r="C6" s="7">
        <v>71.84</v>
      </c>
    </row>
    <row r="7" spans="2:9" x14ac:dyDescent="0.3">
      <c r="B7" s="1" t="s">
        <v>47</v>
      </c>
      <c r="C7" s="7">
        <v>0.53710000000000002</v>
      </c>
    </row>
    <row r="8" spans="2:9" x14ac:dyDescent="0.3">
      <c r="B8" s="1" t="s">
        <v>48</v>
      </c>
      <c r="C8" s="7">
        <v>1.1163000000000001</v>
      </c>
    </row>
    <row r="10" spans="2:9" x14ac:dyDescent="0.3">
      <c r="B10" s="28" t="s">
        <v>49</v>
      </c>
      <c r="C10" s="35"/>
      <c r="D10" s="35"/>
      <c r="E10" s="35"/>
      <c r="F10" s="35"/>
      <c r="G10" s="35"/>
      <c r="H10" s="35"/>
      <c r="I10" s="35"/>
    </row>
    <row r="11" spans="2:9" ht="39.6" x14ac:dyDescent="0.3">
      <c r="B11" s="3" t="s">
        <v>50</v>
      </c>
      <c r="C11" s="3" t="s">
        <v>51</v>
      </c>
      <c r="D11" s="3" t="s">
        <v>36</v>
      </c>
      <c r="E11" s="3" t="s">
        <v>52</v>
      </c>
      <c r="F11" s="3" t="s">
        <v>53</v>
      </c>
      <c r="G11" s="3" t="s">
        <v>54</v>
      </c>
      <c r="H11" s="3" t="s">
        <v>55</v>
      </c>
      <c r="I11" s="3" t="s">
        <v>56</v>
      </c>
    </row>
    <row r="12" spans="2:9" x14ac:dyDescent="0.3">
      <c r="B12" s="4">
        <v>2</v>
      </c>
      <c r="C12" s="4">
        <v>0.5</v>
      </c>
      <c r="D12" s="4">
        <v>0.36649999999999999</v>
      </c>
      <c r="E12" s="4">
        <v>-0.15279999999999999</v>
      </c>
      <c r="F12" s="4">
        <v>214.08</v>
      </c>
      <c r="G12" s="4">
        <v>-2111.6799999999998</v>
      </c>
      <c r="H12" s="4">
        <v>2539.84</v>
      </c>
      <c r="I12" s="8"/>
    </row>
    <row r="13" spans="2:9" x14ac:dyDescent="0.3">
      <c r="B13" s="5">
        <v>5</v>
      </c>
      <c r="C13" s="5">
        <v>0.2</v>
      </c>
      <c r="D13" s="5">
        <v>1.4999</v>
      </c>
      <c r="E13" s="5">
        <v>0.86250000000000004</v>
      </c>
      <c r="F13" s="5">
        <v>287.02999999999997</v>
      </c>
      <c r="G13" s="5">
        <v>-2752.3</v>
      </c>
      <c r="H13" s="5">
        <v>3326.36</v>
      </c>
      <c r="I13" s="9"/>
    </row>
    <row r="14" spans="2:9" x14ac:dyDescent="0.3">
      <c r="B14" s="4">
        <v>10</v>
      </c>
      <c r="C14" s="4">
        <v>0.1</v>
      </c>
      <c r="D14" s="4">
        <v>2.2504</v>
      </c>
      <c r="E14" s="4">
        <v>1.5347999999999999</v>
      </c>
      <c r="F14" s="4">
        <v>335.33</v>
      </c>
      <c r="G14" s="4">
        <v>-3472.19</v>
      </c>
      <c r="H14" s="4">
        <v>4142.84</v>
      </c>
      <c r="I14" s="8"/>
    </row>
    <row r="15" spans="2:9" x14ac:dyDescent="0.3">
      <c r="B15" s="5">
        <v>25</v>
      </c>
      <c r="C15" s="5">
        <v>0.04</v>
      </c>
      <c r="D15" s="5">
        <v>3.1985000000000001</v>
      </c>
      <c r="E15" s="5">
        <v>2.3841999999999999</v>
      </c>
      <c r="F15" s="5">
        <v>396.35</v>
      </c>
      <c r="G15" s="5">
        <v>-4527.8</v>
      </c>
      <c r="H15" s="5">
        <v>5320.5</v>
      </c>
      <c r="I15" s="9"/>
    </row>
    <row r="16" spans="2:9" x14ac:dyDescent="0.3">
      <c r="B16" s="4">
        <v>50</v>
      </c>
      <c r="C16" s="4">
        <v>0.02</v>
      </c>
      <c r="D16" s="4">
        <v>3.9018999999999999</v>
      </c>
      <c r="E16" s="4">
        <v>3.0143</v>
      </c>
      <c r="F16" s="4">
        <v>441.62</v>
      </c>
      <c r="G16" s="4">
        <v>-5365.25</v>
      </c>
      <c r="H16" s="4">
        <v>6248.49</v>
      </c>
      <c r="I16" s="8"/>
    </row>
    <row r="17" spans="2:9" x14ac:dyDescent="0.3">
      <c r="B17" s="10">
        <v>100</v>
      </c>
      <c r="C17" s="10">
        <v>0.01</v>
      </c>
      <c r="D17" s="10">
        <v>4.6001000000000003</v>
      </c>
      <c r="E17" s="10">
        <v>3.6396999999999999</v>
      </c>
      <c r="F17" s="10">
        <v>486.56</v>
      </c>
      <c r="G17" s="10">
        <v>-6222.29</v>
      </c>
      <c r="H17" s="10">
        <v>7195.4</v>
      </c>
      <c r="I17" s="11" t="s">
        <v>57</v>
      </c>
    </row>
    <row r="18" spans="2:9" x14ac:dyDescent="0.3">
      <c r="B18" s="4">
        <v>200</v>
      </c>
      <c r="C18" s="4">
        <v>5.0000000000000001E-3</v>
      </c>
      <c r="D18" s="4">
        <v>5.2957999999999998</v>
      </c>
      <c r="E18" s="4">
        <v>4.2629000000000001</v>
      </c>
      <c r="F18" s="4">
        <v>531.33000000000004</v>
      </c>
      <c r="G18" s="4">
        <v>-7092.67</v>
      </c>
      <c r="H18" s="4">
        <v>8155.33</v>
      </c>
      <c r="I18" s="8"/>
    </row>
    <row r="19" spans="2:9" x14ac:dyDescent="0.3">
      <c r="B19" s="5">
        <v>1000</v>
      </c>
      <c r="C19" s="5">
        <v>1E-3</v>
      </c>
      <c r="D19" s="5">
        <v>6.9073000000000002</v>
      </c>
      <c r="E19" s="5">
        <v>5.7065000000000001</v>
      </c>
      <c r="F19" s="5">
        <v>635.04</v>
      </c>
      <c r="G19" s="5">
        <v>-9146.35</v>
      </c>
      <c r="H19" s="5">
        <v>10416.42</v>
      </c>
      <c r="I19" s="9" t="s">
        <v>58</v>
      </c>
    </row>
    <row r="22" spans="2:9" x14ac:dyDescent="0.3">
      <c r="B22" s="27" t="s">
        <v>59</v>
      </c>
      <c r="C22" s="19"/>
      <c r="D22" s="19"/>
      <c r="E22" s="19"/>
      <c r="F22" s="19"/>
      <c r="G22" s="19"/>
      <c r="H22" s="19"/>
      <c r="I22" s="19"/>
    </row>
  </sheetData>
  <mergeCells count="4">
    <mergeCell ref="B1:I1"/>
    <mergeCell ref="B22:I22"/>
    <mergeCell ref="B10:I10"/>
    <mergeCell ref="B3:C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6"/>
  <sheetViews>
    <sheetView zoomScale="87" workbookViewId="0">
      <selection activeCell="O19" sqref="O19"/>
    </sheetView>
  </sheetViews>
  <sheetFormatPr defaultRowHeight="14.4" x14ac:dyDescent="0.3"/>
  <cols>
    <col min="1" max="1" width="3" customWidth="1"/>
    <col min="2" max="2" width="16" customWidth="1"/>
    <col min="3" max="10" width="10" customWidth="1"/>
  </cols>
  <sheetData>
    <row r="1" spans="2:10" ht="28.05" customHeight="1" x14ac:dyDescent="0.3">
      <c r="B1" s="26" t="s">
        <v>60</v>
      </c>
      <c r="C1" s="19"/>
      <c r="D1" s="19"/>
      <c r="E1" s="19"/>
      <c r="F1" s="19"/>
      <c r="G1" s="19"/>
      <c r="H1" s="19"/>
      <c r="I1" s="19"/>
      <c r="J1" s="19"/>
    </row>
    <row r="3" spans="2:10" x14ac:dyDescent="0.3">
      <c r="B3" s="29" t="s">
        <v>61</v>
      </c>
      <c r="C3" s="19"/>
      <c r="D3" s="19"/>
      <c r="E3" s="19"/>
      <c r="F3" s="19"/>
      <c r="G3" s="19"/>
      <c r="H3" s="19"/>
      <c r="I3" s="19"/>
      <c r="J3" s="19"/>
    </row>
    <row r="5" spans="2:10" x14ac:dyDescent="0.3">
      <c r="B5" s="28" t="s">
        <v>62</v>
      </c>
      <c r="C5" s="19"/>
      <c r="D5" s="19"/>
      <c r="E5" s="19"/>
      <c r="F5" s="19"/>
      <c r="G5" s="19"/>
      <c r="H5" s="19"/>
      <c r="I5" s="19"/>
      <c r="J5" s="19"/>
    </row>
    <row r="6" spans="2:10" x14ac:dyDescent="0.3">
      <c r="B6" s="3" t="s">
        <v>63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68</v>
      </c>
      <c r="H6" s="12" t="s">
        <v>69</v>
      </c>
      <c r="I6" s="3" t="s">
        <v>70</v>
      </c>
      <c r="J6" s="3" t="s">
        <v>71</v>
      </c>
    </row>
    <row r="7" spans="2:10" x14ac:dyDescent="0.3">
      <c r="B7" s="13" t="s">
        <v>72</v>
      </c>
      <c r="C7" s="4">
        <v>46.75</v>
      </c>
      <c r="D7" s="4">
        <v>62.69</v>
      </c>
      <c r="E7" s="4">
        <v>73.23</v>
      </c>
      <c r="F7" s="4">
        <v>86.56</v>
      </c>
      <c r="G7" s="4">
        <v>96.45</v>
      </c>
      <c r="H7" s="10">
        <v>106.26</v>
      </c>
      <c r="I7" s="4">
        <v>116.04</v>
      </c>
      <c r="J7" s="4">
        <v>138.69</v>
      </c>
    </row>
    <row r="8" spans="2:10" x14ac:dyDescent="0.3">
      <c r="B8" s="14" t="s">
        <v>73</v>
      </c>
      <c r="C8" s="5">
        <v>58.91</v>
      </c>
      <c r="D8" s="5">
        <v>78.98</v>
      </c>
      <c r="E8" s="5">
        <v>92.27</v>
      </c>
      <c r="F8" s="5">
        <v>109.06</v>
      </c>
      <c r="G8" s="5">
        <v>121.52</v>
      </c>
      <c r="H8" s="10">
        <v>133.88</v>
      </c>
      <c r="I8" s="5">
        <v>146.19999999999999</v>
      </c>
      <c r="J8" s="5">
        <v>174.74</v>
      </c>
    </row>
    <row r="9" spans="2:10" x14ac:dyDescent="0.3">
      <c r="B9" s="13" t="s">
        <v>74</v>
      </c>
      <c r="C9" s="4">
        <v>74.22</v>
      </c>
      <c r="D9" s="4">
        <v>99.51</v>
      </c>
      <c r="E9" s="4">
        <v>116.25</v>
      </c>
      <c r="F9" s="4">
        <v>137.41</v>
      </c>
      <c r="G9" s="4">
        <v>153.1</v>
      </c>
      <c r="H9" s="10">
        <v>168.68</v>
      </c>
      <c r="I9" s="4">
        <v>184.2</v>
      </c>
      <c r="J9" s="4">
        <v>220.16</v>
      </c>
    </row>
    <row r="10" spans="2:10" x14ac:dyDescent="0.3">
      <c r="B10" s="14" t="s">
        <v>75</v>
      </c>
      <c r="C10" s="5">
        <v>93.51</v>
      </c>
      <c r="D10" s="5">
        <v>125.37</v>
      </c>
      <c r="E10" s="5">
        <v>146.47</v>
      </c>
      <c r="F10" s="5">
        <v>173.12</v>
      </c>
      <c r="G10" s="5">
        <v>192.9</v>
      </c>
      <c r="H10" s="10">
        <v>212.52</v>
      </c>
      <c r="I10" s="5">
        <v>232.08</v>
      </c>
      <c r="J10" s="5">
        <v>277.38</v>
      </c>
    </row>
    <row r="11" spans="2:10" x14ac:dyDescent="0.3">
      <c r="B11" s="13" t="s">
        <v>76</v>
      </c>
      <c r="C11" s="4">
        <v>107.04</v>
      </c>
      <c r="D11" s="4">
        <v>143.51</v>
      </c>
      <c r="E11" s="4">
        <v>167.66</v>
      </c>
      <c r="F11" s="4">
        <v>198.17</v>
      </c>
      <c r="G11" s="4">
        <v>220.81</v>
      </c>
      <c r="H11" s="10">
        <v>243.28</v>
      </c>
      <c r="I11" s="4">
        <v>265.66000000000003</v>
      </c>
      <c r="J11" s="4">
        <v>317.52</v>
      </c>
    </row>
    <row r="12" spans="2:10" x14ac:dyDescent="0.3">
      <c r="B12" s="14" t="s">
        <v>77</v>
      </c>
      <c r="C12" s="5">
        <v>134.86000000000001</v>
      </c>
      <c r="D12" s="5">
        <v>180.82</v>
      </c>
      <c r="E12" s="5">
        <v>211.24</v>
      </c>
      <c r="F12" s="5">
        <v>249.68</v>
      </c>
      <c r="G12" s="5">
        <v>278.2</v>
      </c>
      <c r="H12" s="10">
        <v>306.51</v>
      </c>
      <c r="I12" s="5">
        <v>334.72</v>
      </c>
      <c r="J12" s="5">
        <v>400.05</v>
      </c>
    </row>
    <row r="13" spans="2:10" x14ac:dyDescent="0.3">
      <c r="B13" s="13" t="s">
        <v>78</v>
      </c>
      <c r="C13" s="4">
        <v>169.92</v>
      </c>
      <c r="D13" s="4">
        <v>227.81</v>
      </c>
      <c r="E13" s="4">
        <v>266.14999999999998</v>
      </c>
      <c r="F13" s="4">
        <v>314.58</v>
      </c>
      <c r="G13" s="4">
        <v>350.51</v>
      </c>
      <c r="H13" s="10">
        <v>386.18</v>
      </c>
      <c r="I13" s="4">
        <v>421.72</v>
      </c>
      <c r="J13" s="4">
        <v>504.03</v>
      </c>
    </row>
    <row r="14" spans="2:10" x14ac:dyDescent="0.3">
      <c r="B14" s="14" t="s">
        <v>79</v>
      </c>
      <c r="C14" s="5">
        <v>214.08</v>
      </c>
      <c r="D14" s="5">
        <v>287.02999999999997</v>
      </c>
      <c r="E14" s="5">
        <v>335.33</v>
      </c>
      <c r="F14" s="5">
        <v>396.35</v>
      </c>
      <c r="G14" s="5">
        <v>441.62</v>
      </c>
      <c r="H14" s="10">
        <v>486.56</v>
      </c>
      <c r="I14" s="5">
        <v>531.33000000000004</v>
      </c>
      <c r="J14" s="5">
        <v>635.04</v>
      </c>
    </row>
    <row r="17" spans="2:10" x14ac:dyDescent="0.3">
      <c r="B17" s="24" t="s">
        <v>80</v>
      </c>
      <c r="C17" s="19"/>
      <c r="D17" s="19"/>
      <c r="E17" s="19"/>
      <c r="F17" s="19"/>
      <c r="G17" s="19"/>
      <c r="H17" s="19"/>
      <c r="I17" s="19"/>
      <c r="J17" s="19"/>
    </row>
    <row r="18" spans="2:10" x14ac:dyDescent="0.3">
      <c r="B18" s="2" t="s">
        <v>63</v>
      </c>
      <c r="C18" s="2" t="s">
        <v>64</v>
      </c>
      <c r="D18" s="2" t="s">
        <v>65</v>
      </c>
      <c r="E18" s="2" t="s">
        <v>66</v>
      </c>
      <c r="F18" s="2" t="s">
        <v>67</v>
      </c>
      <c r="G18" s="2" t="s">
        <v>68</v>
      </c>
      <c r="H18" s="12" t="s">
        <v>69</v>
      </c>
      <c r="I18" s="2" t="s">
        <v>70</v>
      </c>
      <c r="J18" s="2" t="s">
        <v>71</v>
      </c>
    </row>
    <row r="19" spans="2:10" x14ac:dyDescent="0.3">
      <c r="B19" s="13" t="s">
        <v>72</v>
      </c>
      <c r="C19" s="4">
        <v>187.02</v>
      </c>
      <c r="D19" s="4">
        <v>250.74</v>
      </c>
      <c r="E19" s="4">
        <v>292.93</v>
      </c>
      <c r="F19" s="4">
        <v>346.24</v>
      </c>
      <c r="G19" s="4">
        <v>385.79</v>
      </c>
      <c r="H19" s="10">
        <v>425.05</v>
      </c>
      <c r="I19" s="4">
        <v>464.16</v>
      </c>
      <c r="J19" s="4">
        <v>554.76</v>
      </c>
    </row>
    <row r="20" spans="2:10" x14ac:dyDescent="0.3">
      <c r="B20" s="14" t="s">
        <v>73</v>
      </c>
      <c r="C20" s="5">
        <v>117.81</v>
      </c>
      <c r="D20" s="5">
        <v>157.96</v>
      </c>
      <c r="E20" s="5">
        <v>184.54</v>
      </c>
      <c r="F20" s="5">
        <v>218.12</v>
      </c>
      <c r="G20" s="5">
        <v>243.03</v>
      </c>
      <c r="H20" s="10">
        <v>267.76</v>
      </c>
      <c r="I20" s="5">
        <v>292.39999999999998</v>
      </c>
      <c r="J20" s="5">
        <v>349.48</v>
      </c>
    </row>
    <row r="21" spans="2:10" x14ac:dyDescent="0.3">
      <c r="B21" s="13" t="s">
        <v>74</v>
      </c>
      <c r="C21" s="4">
        <v>74.22</v>
      </c>
      <c r="D21" s="4">
        <v>99.51</v>
      </c>
      <c r="E21" s="4">
        <v>116.25</v>
      </c>
      <c r="F21" s="4">
        <v>137.41</v>
      </c>
      <c r="G21" s="4">
        <v>153.1</v>
      </c>
      <c r="H21" s="10">
        <v>168.68</v>
      </c>
      <c r="I21" s="4">
        <v>184.2</v>
      </c>
      <c r="J21" s="4">
        <v>220.16</v>
      </c>
    </row>
    <row r="22" spans="2:10" x14ac:dyDescent="0.3">
      <c r="B22" s="14" t="s">
        <v>75</v>
      </c>
      <c r="C22" s="5">
        <v>46.75</v>
      </c>
      <c r="D22" s="5">
        <v>62.69</v>
      </c>
      <c r="E22" s="5">
        <v>73.23</v>
      </c>
      <c r="F22" s="5">
        <v>86.56</v>
      </c>
      <c r="G22" s="5">
        <v>96.45</v>
      </c>
      <c r="H22" s="10">
        <v>106.26</v>
      </c>
      <c r="I22" s="5">
        <v>116.04</v>
      </c>
      <c r="J22" s="5">
        <v>138.69</v>
      </c>
    </row>
    <row r="23" spans="2:10" x14ac:dyDescent="0.3">
      <c r="B23" s="13" t="s">
        <v>76</v>
      </c>
      <c r="C23" s="4">
        <v>35.68</v>
      </c>
      <c r="D23" s="4">
        <v>47.84</v>
      </c>
      <c r="E23" s="4">
        <v>55.89</v>
      </c>
      <c r="F23" s="4">
        <v>66.06</v>
      </c>
      <c r="G23" s="4">
        <v>73.599999999999994</v>
      </c>
      <c r="H23" s="10">
        <v>81.09</v>
      </c>
      <c r="I23" s="4">
        <v>88.55</v>
      </c>
      <c r="J23" s="4">
        <v>105.84</v>
      </c>
    </row>
    <row r="24" spans="2:10" x14ac:dyDescent="0.3">
      <c r="B24" s="14" t="s">
        <v>77</v>
      </c>
      <c r="C24" s="5">
        <v>22.48</v>
      </c>
      <c r="D24" s="5">
        <v>30.14</v>
      </c>
      <c r="E24" s="5">
        <v>35.21</v>
      </c>
      <c r="F24" s="5">
        <v>41.61</v>
      </c>
      <c r="G24" s="5">
        <v>46.37</v>
      </c>
      <c r="H24" s="10">
        <v>51.09</v>
      </c>
      <c r="I24" s="5">
        <v>55.79</v>
      </c>
      <c r="J24" s="5">
        <v>66.67</v>
      </c>
    </row>
    <row r="25" spans="2:10" x14ac:dyDescent="0.3">
      <c r="B25" s="13" t="s">
        <v>78</v>
      </c>
      <c r="C25" s="4">
        <v>14.16</v>
      </c>
      <c r="D25" s="4">
        <v>18.98</v>
      </c>
      <c r="E25" s="4">
        <v>22.18</v>
      </c>
      <c r="F25" s="4">
        <v>26.22</v>
      </c>
      <c r="G25" s="4">
        <v>29.21</v>
      </c>
      <c r="H25" s="10">
        <v>32.18</v>
      </c>
      <c r="I25" s="4">
        <v>35.14</v>
      </c>
      <c r="J25" s="4">
        <v>42</v>
      </c>
    </row>
    <row r="26" spans="2:10" x14ac:dyDescent="0.3">
      <c r="B26" s="14" t="s">
        <v>79</v>
      </c>
      <c r="C26" s="5">
        <v>8.92</v>
      </c>
      <c r="D26" s="5">
        <v>11.96</v>
      </c>
      <c r="E26" s="5">
        <v>13.97</v>
      </c>
      <c r="F26" s="5">
        <v>16.510000000000002</v>
      </c>
      <c r="G26" s="5">
        <v>18.399999999999999</v>
      </c>
      <c r="H26" s="10">
        <v>20.27</v>
      </c>
      <c r="I26" s="5">
        <v>22.14</v>
      </c>
      <c r="J26" s="5">
        <v>26.46</v>
      </c>
    </row>
  </sheetData>
  <mergeCells count="4">
    <mergeCell ref="B17:J17"/>
    <mergeCell ref="B1:J1"/>
    <mergeCell ref="B3:J3"/>
    <mergeCell ref="B5:J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2"/>
  <sheetViews>
    <sheetView zoomScale="44" workbookViewId="0">
      <selection activeCell="T12" sqref="T12"/>
    </sheetView>
  </sheetViews>
  <sheetFormatPr defaultRowHeight="14.4" x14ac:dyDescent="0.3"/>
  <cols>
    <col min="1" max="1" width="3" customWidth="1"/>
    <col min="2" max="2" width="20" customWidth="1"/>
    <col min="3" max="3" width="14" customWidth="1"/>
    <col min="4" max="5" width="16" customWidth="1"/>
    <col min="6" max="7" width="18" customWidth="1"/>
    <col min="8" max="8" width="20" customWidth="1"/>
  </cols>
  <sheetData>
    <row r="1" spans="2:8" ht="28.05" customHeight="1" x14ac:dyDescent="0.3">
      <c r="B1" s="26" t="s">
        <v>81</v>
      </c>
      <c r="C1" s="19"/>
      <c r="D1" s="19"/>
      <c r="E1" s="19"/>
      <c r="F1" s="19"/>
      <c r="G1" s="19"/>
      <c r="H1" s="19"/>
    </row>
    <row r="3" spans="2:8" x14ac:dyDescent="0.3">
      <c r="B3" s="30" t="s">
        <v>82</v>
      </c>
      <c r="C3" s="19"/>
      <c r="D3" s="19"/>
      <c r="E3" s="19"/>
      <c r="F3" s="19"/>
      <c r="G3" s="19"/>
      <c r="H3" s="19"/>
    </row>
    <row r="5" spans="2:8" ht="26.4" x14ac:dyDescent="0.3">
      <c r="B5" s="3" t="s">
        <v>83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88</v>
      </c>
      <c r="H5" s="3" t="s">
        <v>89</v>
      </c>
    </row>
    <row r="6" spans="2:8" x14ac:dyDescent="0.3">
      <c r="B6" s="4">
        <v>1</v>
      </c>
      <c r="C6" s="4">
        <v>60</v>
      </c>
      <c r="D6" s="4">
        <v>0.34670000000000001</v>
      </c>
      <c r="E6" s="4">
        <v>168.68</v>
      </c>
      <c r="F6" s="4">
        <v>168.68</v>
      </c>
      <c r="G6" s="4">
        <v>6.85</v>
      </c>
      <c r="H6" s="4">
        <v>6.85</v>
      </c>
    </row>
    <row r="7" spans="2:8" x14ac:dyDescent="0.3">
      <c r="B7" s="5">
        <v>2</v>
      </c>
      <c r="C7" s="5">
        <v>120</v>
      </c>
      <c r="D7" s="5">
        <v>0.43680000000000002</v>
      </c>
      <c r="E7" s="5">
        <v>212.52</v>
      </c>
      <c r="F7" s="5">
        <v>106.26</v>
      </c>
      <c r="G7" s="5">
        <v>168.68</v>
      </c>
      <c r="H7" s="5">
        <v>7.06</v>
      </c>
    </row>
    <row r="8" spans="2:8" x14ac:dyDescent="0.3">
      <c r="B8" s="4">
        <v>3</v>
      </c>
      <c r="C8" s="4">
        <v>180</v>
      </c>
      <c r="D8" s="4">
        <v>0.5</v>
      </c>
      <c r="E8" s="4">
        <v>243.28</v>
      </c>
      <c r="F8" s="4">
        <v>81.09</v>
      </c>
      <c r="G8" s="4">
        <v>43.84</v>
      </c>
      <c r="H8" s="4">
        <v>7.51</v>
      </c>
    </row>
    <row r="9" spans="2:8" x14ac:dyDescent="0.3">
      <c r="B9" s="5">
        <v>4</v>
      </c>
      <c r="C9" s="5">
        <v>240</v>
      </c>
      <c r="D9" s="5">
        <v>0.55030000000000001</v>
      </c>
      <c r="E9" s="5">
        <v>267.76</v>
      </c>
      <c r="F9" s="5">
        <v>66.94</v>
      </c>
      <c r="G9" s="5">
        <v>30.76</v>
      </c>
      <c r="H9" s="5">
        <v>8.0399999999999991</v>
      </c>
    </row>
    <row r="10" spans="2:8" x14ac:dyDescent="0.3">
      <c r="B10" s="4">
        <v>5</v>
      </c>
      <c r="C10" s="4">
        <v>300</v>
      </c>
      <c r="D10" s="4">
        <v>0.59279999999999999</v>
      </c>
      <c r="E10" s="4">
        <v>288.44</v>
      </c>
      <c r="F10" s="4">
        <v>57.69</v>
      </c>
      <c r="G10" s="4">
        <v>24.48</v>
      </c>
      <c r="H10" s="4">
        <v>8.68</v>
      </c>
    </row>
    <row r="11" spans="2:8" x14ac:dyDescent="0.3">
      <c r="B11" s="5">
        <v>6</v>
      </c>
      <c r="C11" s="5">
        <v>360</v>
      </c>
      <c r="D11" s="5">
        <v>0.63</v>
      </c>
      <c r="E11" s="5">
        <v>306.51</v>
      </c>
      <c r="F11" s="5">
        <v>51.09</v>
      </c>
      <c r="G11" s="5">
        <v>20.68</v>
      </c>
      <c r="H11" s="5">
        <v>9.4600000000000009</v>
      </c>
    </row>
    <row r="12" spans="2:8" x14ac:dyDescent="0.3">
      <c r="B12" s="4">
        <v>7</v>
      </c>
      <c r="C12" s="4">
        <v>420</v>
      </c>
      <c r="D12" s="4">
        <v>0.66320000000000001</v>
      </c>
      <c r="E12" s="4">
        <v>322.67</v>
      </c>
      <c r="F12" s="4">
        <v>46.1</v>
      </c>
      <c r="G12" s="4">
        <v>18.07</v>
      </c>
      <c r="H12" s="4">
        <v>10.44</v>
      </c>
    </row>
    <row r="13" spans="2:8" x14ac:dyDescent="0.3">
      <c r="B13" s="5">
        <v>8</v>
      </c>
      <c r="C13" s="5">
        <v>480</v>
      </c>
      <c r="D13" s="5">
        <v>0.69340000000000002</v>
      </c>
      <c r="E13" s="5">
        <v>337.36</v>
      </c>
      <c r="F13" s="5">
        <v>42.17</v>
      </c>
      <c r="G13" s="5">
        <v>16.16</v>
      </c>
      <c r="H13" s="5">
        <v>11.73</v>
      </c>
    </row>
    <row r="14" spans="2:8" x14ac:dyDescent="0.3">
      <c r="B14" s="4">
        <v>9</v>
      </c>
      <c r="C14" s="4">
        <v>540</v>
      </c>
      <c r="D14" s="4">
        <v>0.72109999999999996</v>
      </c>
      <c r="E14" s="4">
        <v>350.87</v>
      </c>
      <c r="F14" s="4">
        <v>38.99</v>
      </c>
      <c r="G14" s="4">
        <v>14.69</v>
      </c>
      <c r="H14" s="4">
        <v>13.51</v>
      </c>
    </row>
    <row r="15" spans="2:8" x14ac:dyDescent="0.3">
      <c r="B15" s="5">
        <v>10</v>
      </c>
      <c r="C15" s="5">
        <v>600</v>
      </c>
      <c r="D15" s="5">
        <v>0.74690000000000001</v>
      </c>
      <c r="E15" s="5">
        <v>363.41</v>
      </c>
      <c r="F15" s="5">
        <v>36.340000000000003</v>
      </c>
      <c r="G15" s="5">
        <v>13.51</v>
      </c>
      <c r="H15" s="5">
        <v>16.16</v>
      </c>
    </row>
    <row r="16" spans="2:8" x14ac:dyDescent="0.3">
      <c r="B16" s="4">
        <v>11</v>
      </c>
      <c r="C16" s="4">
        <v>660</v>
      </c>
      <c r="D16" s="4">
        <v>0.77100000000000002</v>
      </c>
      <c r="E16" s="4">
        <v>375.14</v>
      </c>
      <c r="F16" s="4">
        <v>34.1</v>
      </c>
      <c r="G16" s="4">
        <v>12.54</v>
      </c>
      <c r="H16" s="4">
        <v>20.68</v>
      </c>
    </row>
    <row r="17" spans="2:8" x14ac:dyDescent="0.3">
      <c r="B17" s="5">
        <v>12</v>
      </c>
      <c r="C17" s="5">
        <v>720</v>
      </c>
      <c r="D17" s="5">
        <v>0.79369999999999996</v>
      </c>
      <c r="E17" s="5">
        <v>386.18</v>
      </c>
      <c r="F17" s="5">
        <v>32.18</v>
      </c>
      <c r="G17" s="5">
        <v>11.73</v>
      </c>
      <c r="H17" s="5">
        <v>30.76</v>
      </c>
    </row>
    <row r="18" spans="2:8" x14ac:dyDescent="0.3">
      <c r="B18" s="4">
        <v>13</v>
      </c>
      <c r="C18" s="4">
        <v>780</v>
      </c>
      <c r="D18" s="4">
        <v>0.81520000000000004</v>
      </c>
      <c r="E18" s="4">
        <v>396.62</v>
      </c>
      <c r="F18" s="4">
        <v>30.51</v>
      </c>
      <c r="G18" s="4">
        <v>11.04</v>
      </c>
      <c r="H18" s="4">
        <v>168.68</v>
      </c>
    </row>
    <row r="19" spans="2:8" x14ac:dyDescent="0.3">
      <c r="B19" s="5">
        <v>14</v>
      </c>
      <c r="C19" s="5">
        <v>840</v>
      </c>
      <c r="D19" s="5">
        <v>0.83550000000000002</v>
      </c>
      <c r="E19" s="5">
        <v>406.54</v>
      </c>
      <c r="F19" s="5">
        <v>29.04</v>
      </c>
      <c r="G19" s="5">
        <v>10.44</v>
      </c>
      <c r="H19" s="5">
        <v>43.84</v>
      </c>
    </row>
    <row r="20" spans="2:8" x14ac:dyDescent="0.3">
      <c r="B20" s="4">
        <v>15</v>
      </c>
      <c r="C20" s="4">
        <v>900</v>
      </c>
      <c r="D20" s="4">
        <v>0.85499999999999998</v>
      </c>
      <c r="E20" s="4">
        <v>416</v>
      </c>
      <c r="F20" s="4">
        <v>27.73</v>
      </c>
      <c r="G20" s="4">
        <v>9.92</v>
      </c>
      <c r="H20" s="4">
        <v>24.48</v>
      </c>
    </row>
    <row r="21" spans="2:8" x14ac:dyDescent="0.3">
      <c r="B21" s="5">
        <v>16</v>
      </c>
      <c r="C21" s="5">
        <v>960</v>
      </c>
      <c r="D21" s="5">
        <v>0.87360000000000004</v>
      </c>
      <c r="E21" s="5">
        <v>425.05</v>
      </c>
      <c r="F21" s="5">
        <v>26.57</v>
      </c>
      <c r="G21" s="5">
        <v>9.4600000000000009</v>
      </c>
      <c r="H21" s="5">
        <v>18.07</v>
      </c>
    </row>
    <row r="22" spans="2:8" x14ac:dyDescent="0.3">
      <c r="B22" s="4">
        <v>17</v>
      </c>
      <c r="C22" s="4">
        <v>1020</v>
      </c>
      <c r="D22" s="4">
        <v>0.89139999999999997</v>
      </c>
      <c r="E22" s="4">
        <v>433.72</v>
      </c>
      <c r="F22" s="4">
        <v>25.51</v>
      </c>
      <c r="G22" s="4">
        <v>9.0500000000000007</v>
      </c>
      <c r="H22" s="4">
        <v>14.69</v>
      </c>
    </row>
    <row r="23" spans="2:8" x14ac:dyDescent="0.3">
      <c r="B23" s="5">
        <v>18</v>
      </c>
      <c r="C23" s="5">
        <v>1080</v>
      </c>
      <c r="D23" s="5">
        <v>0.90859999999999996</v>
      </c>
      <c r="E23" s="5">
        <v>442.07</v>
      </c>
      <c r="F23" s="5">
        <v>24.56</v>
      </c>
      <c r="G23" s="5">
        <v>8.68</v>
      </c>
      <c r="H23" s="5">
        <v>12.54</v>
      </c>
    </row>
    <row r="24" spans="2:8" x14ac:dyDescent="0.3">
      <c r="B24" s="4">
        <v>19</v>
      </c>
      <c r="C24" s="4">
        <v>1140</v>
      </c>
      <c r="D24" s="4">
        <v>0.92510000000000003</v>
      </c>
      <c r="E24" s="4">
        <v>450.1</v>
      </c>
      <c r="F24" s="4">
        <v>23.69</v>
      </c>
      <c r="G24" s="4">
        <v>8.34</v>
      </c>
      <c r="H24" s="4">
        <v>11.04</v>
      </c>
    </row>
    <row r="25" spans="2:8" x14ac:dyDescent="0.3">
      <c r="B25" s="5">
        <v>20</v>
      </c>
      <c r="C25" s="5">
        <v>1200</v>
      </c>
      <c r="D25" s="5">
        <v>0.94099999999999995</v>
      </c>
      <c r="E25" s="5">
        <v>457.87</v>
      </c>
      <c r="F25" s="5">
        <v>22.89</v>
      </c>
      <c r="G25" s="5">
        <v>8.0399999999999991</v>
      </c>
      <c r="H25" s="5">
        <v>9.92</v>
      </c>
    </row>
    <row r="26" spans="2:8" x14ac:dyDescent="0.3">
      <c r="B26" s="4">
        <v>21</v>
      </c>
      <c r="C26" s="4">
        <v>1260</v>
      </c>
      <c r="D26" s="4">
        <v>0.95650000000000002</v>
      </c>
      <c r="E26" s="4">
        <v>465.37</v>
      </c>
      <c r="F26" s="4">
        <v>22.16</v>
      </c>
      <c r="G26" s="4">
        <v>7.76</v>
      </c>
      <c r="H26" s="4">
        <v>9.0500000000000007</v>
      </c>
    </row>
    <row r="27" spans="2:8" x14ac:dyDescent="0.3">
      <c r="B27" s="5">
        <v>22</v>
      </c>
      <c r="C27" s="5">
        <v>1320</v>
      </c>
      <c r="D27" s="5">
        <v>0.97140000000000004</v>
      </c>
      <c r="E27" s="5">
        <v>472.65</v>
      </c>
      <c r="F27" s="5">
        <v>21.48</v>
      </c>
      <c r="G27" s="5">
        <v>7.51</v>
      </c>
      <c r="H27" s="5">
        <v>8.34</v>
      </c>
    </row>
    <row r="28" spans="2:8" x14ac:dyDescent="0.3">
      <c r="B28" s="4">
        <v>23</v>
      </c>
      <c r="C28" s="4">
        <v>1380</v>
      </c>
      <c r="D28" s="4">
        <v>0.9859</v>
      </c>
      <c r="E28" s="4">
        <v>479.7</v>
      </c>
      <c r="F28" s="4">
        <v>20.86</v>
      </c>
      <c r="G28" s="4">
        <v>7.27</v>
      </c>
      <c r="H28" s="4">
        <v>7.76</v>
      </c>
    </row>
    <row r="29" spans="2:8" x14ac:dyDescent="0.3">
      <c r="B29" s="5">
        <v>24</v>
      </c>
      <c r="C29" s="5">
        <v>1440</v>
      </c>
      <c r="D29" s="5">
        <v>1</v>
      </c>
      <c r="E29" s="5">
        <v>486.56</v>
      </c>
      <c r="F29" s="5">
        <v>20.27</v>
      </c>
      <c r="G29" s="5">
        <v>7.06</v>
      </c>
      <c r="H29" s="5">
        <v>7.27</v>
      </c>
    </row>
    <row r="31" spans="2:8" ht="21.6" x14ac:dyDescent="0.45">
      <c r="B31" s="32" t="s">
        <v>90</v>
      </c>
      <c r="C31" s="33"/>
      <c r="D31" s="33"/>
      <c r="E31" s="33"/>
      <c r="F31" s="33"/>
      <c r="G31" s="33"/>
      <c r="H31" s="33"/>
    </row>
    <row r="32" spans="2:8" x14ac:dyDescent="0.3">
      <c r="B32" s="31" t="s">
        <v>91</v>
      </c>
      <c r="C32" s="19"/>
      <c r="D32" s="19"/>
      <c r="E32" s="19"/>
      <c r="F32" s="19"/>
      <c r="G32" s="19"/>
      <c r="H32" s="19"/>
    </row>
  </sheetData>
  <mergeCells count="4">
    <mergeCell ref="B1:H1"/>
    <mergeCell ref="B3:H3"/>
    <mergeCell ref="B32:H32"/>
    <mergeCell ref="B31:H3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"/>
  <sheetViews>
    <sheetView zoomScale="82" zoomScaleNormal="100" workbookViewId="0">
      <selection activeCell="H9" sqref="H9"/>
    </sheetView>
  </sheetViews>
  <sheetFormatPr defaultRowHeight="14.4" x14ac:dyDescent="0.3"/>
  <cols>
    <col min="1" max="1" width="16" customWidth="1"/>
  </cols>
  <sheetData>
    <row r="1" spans="1:10" ht="25.8" customHeight="1" x14ac:dyDescent="0.3">
      <c r="A1" s="37" t="s">
        <v>92</v>
      </c>
      <c r="B1" s="38"/>
      <c r="C1" s="38"/>
      <c r="D1" s="38"/>
      <c r="E1" s="38"/>
      <c r="F1" s="38"/>
      <c r="G1" s="38"/>
      <c r="H1" s="38"/>
      <c r="I1" s="38"/>
      <c r="J1" s="34"/>
    </row>
    <row r="3" spans="1:10" x14ac:dyDescent="0.3">
      <c r="A3" s="15" t="s">
        <v>93</v>
      </c>
      <c r="B3">
        <v>15</v>
      </c>
      <c r="C3">
        <v>30</v>
      </c>
      <c r="D3">
        <v>60</v>
      </c>
      <c r="E3">
        <v>120</v>
      </c>
      <c r="F3">
        <v>180</v>
      </c>
      <c r="G3">
        <v>360</v>
      </c>
      <c r="H3">
        <v>720</v>
      </c>
      <c r="I3">
        <v>1440</v>
      </c>
    </row>
    <row r="4" spans="1:10" x14ac:dyDescent="0.3">
      <c r="A4" s="15" t="s">
        <v>94</v>
      </c>
      <c r="B4">
        <v>187.02</v>
      </c>
      <c r="C4">
        <v>117.81</v>
      </c>
      <c r="D4">
        <v>74.22</v>
      </c>
      <c r="E4">
        <v>46.75</v>
      </c>
      <c r="F4">
        <v>35.68</v>
      </c>
      <c r="G4">
        <v>22.48</v>
      </c>
      <c r="H4">
        <v>14.16</v>
      </c>
      <c r="I4">
        <v>8.92</v>
      </c>
    </row>
    <row r="5" spans="1:10" x14ac:dyDescent="0.3">
      <c r="A5" s="15" t="s">
        <v>95</v>
      </c>
      <c r="B5">
        <v>250.74</v>
      </c>
      <c r="C5">
        <v>157.96</v>
      </c>
      <c r="D5">
        <v>99.51</v>
      </c>
      <c r="E5">
        <v>62.69</v>
      </c>
      <c r="F5">
        <v>47.84</v>
      </c>
      <c r="G5">
        <v>30.14</v>
      </c>
      <c r="H5">
        <v>18.98</v>
      </c>
      <c r="I5">
        <v>11.96</v>
      </c>
    </row>
    <row r="6" spans="1:10" x14ac:dyDescent="0.3">
      <c r="A6" s="15" t="s">
        <v>96</v>
      </c>
      <c r="B6">
        <v>292.93</v>
      </c>
      <c r="C6">
        <v>184.54</v>
      </c>
      <c r="D6">
        <v>116.25</v>
      </c>
      <c r="E6">
        <v>73.23</v>
      </c>
      <c r="F6">
        <v>55.89</v>
      </c>
      <c r="G6">
        <v>35.21</v>
      </c>
      <c r="H6">
        <v>22.18</v>
      </c>
      <c r="I6">
        <v>13.97</v>
      </c>
    </row>
    <row r="7" spans="1:10" x14ac:dyDescent="0.3">
      <c r="A7" s="15" t="s">
        <v>97</v>
      </c>
      <c r="B7">
        <v>346.24</v>
      </c>
      <c r="C7">
        <v>218.12</v>
      </c>
      <c r="D7">
        <v>137.41</v>
      </c>
      <c r="E7">
        <v>86.56</v>
      </c>
      <c r="F7">
        <v>66.06</v>
      </c>
      <c r="G7">
        <v>41.61</v>
      </c>
      <c r="H7">
        <v>26.22</v>
      </c>
      <c r="I7">
        <v>16.510000000000002</v>
      </c>
    </row>
    <row r="8" spans="1:10" x14ac:dyDescent="0.3">
      <c r="A8" s="15" t="s">
        <v>98</v>
      </c>
      <c r="B8">
        <v>385.79</v>
      </c>
      <c r="C8">
        <v>243.03</v>
      </c>
      <c r="D8">
        <v>153.1</v>
      </c>
      <c r="E8">
        <v>96.45</v>
      </c>
      <c r="F8">
        <v>73.599999999999994</v>
      </c>
      <c r="G8">
        <v>46.37</v>
      </c>
      <c r="H8">
        <v>29.21</v>
      </c>
      <c r="I8">
        <v>18.399999999999999</v>
      </c>
    </row>
    <row r="9" spans="1:10" x14ac:dyDescent="0.3">
      <c r="A9" s="15" t="s">
        <v>99</v>
      </c>
      <c r="B9">
        <v>425.05</v>
      </c>
      <c r="C9">
        <v>267.76</v>
      </c>
      <c r="D9">
        <v>168.68</v>
      </c>
      <c r="E9">
        <v>106.26</v>
      </c>
      <c r="F9">
        <v>81.09</v>
      </c>
      <c r="G9">
        <v>51.09</v>
      </c>
      <c r="H9">
        <v>32.18</v>
      </c>
      <c r="I9">
        <v>20.27</v>
      </c>
    </row>
    <row r="10" spans="1:10" x14ac:dyDescent="0.3">
      <c r="A10" s="15" t="s">
        <v>100</v>
      </c>
      <c r="B10">
        <v>464.16</v>
      </c>
      <c r="C10">
        <v>292.39999999999998</v>
      </c>
      <c r="D10">
        <v>184.2</v>
      </c>
      <c r="E10">
        <v>116.04</v>
      </c>
      <c r="F10">
        <v>88.55</v>
      </c>
      <c r="G10">
        <v>55.79</v>
      </c>
      <c r="H10">
        <v>35.14</v>
      </c>
      <c r="I10">
        <v>22.14</v>
      </c>
    </row>
    <row r="11" spans="1:10" x14ac:dyDescent="0.3">
      <c r="A11" s="15" t="s">
        <v>101</v>
      </c>
      <c r="B11">
        <v>554.76</v>
      </c>
      <c r="C11">
        <v>349.48</v>
      </c>
      <c r="D11">
        <v>220.16</v>
      </c>
      <c r="E11">
        <v>138.69</v>
      </c>
      <c r="F11">
        <v>105.84</v>
      </c>
      <c r="G11">
        <v>66.67</v>
      </c>
      <c r="H11">
        <v>42</v>
      </c>
      <c r="I11">
        <v>26.46</v>
      </c>
    </row>
  </sheetData>
  <mergeCells count="1">
    <mergeCell ref="A1:I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Annual_Max_Data</vt:lpstr>
      <vt:lpstr>Gumbel_Freq_Analysis</vt:lpstr>
      <vt:lpstr>IDF_Analysis</vt:lpstr>
      <vt:lpstr>100yr_Design_Storm</vt:lpstr>
      <vt:lpstr>IDF_Chart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Satwik Udupi</cp:lastModifiedBy>
  <dcterms:created xsi:type="dcterms:W3CDTF">2026-04-13T06:33:39Z</dcterms:created>
  <dcterms:modified xsi:type="dcterms:W3CDTF">2026-04-13T07:17:30Z</dcterms:modified>
</cp:coreProperties>
</file>